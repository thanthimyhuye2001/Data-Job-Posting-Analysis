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Chuyển từ download sang\A Học tập Bách Khoa\ĐA2\Data-Job-Posting-Analysis\Project_full\dashboard\"/>
    </mc:Choice>
  </mc:AlternateContent>
  <xr:revisionPtr revIDLastSave="0" documentId="13_ncr:1_{C89C1318-E24B-4A23-9FFF-40A445ADF021}" xr6:coauthVersionLast="47" xr6:coauthVersionMax="47" xr10:uidLastSave="{00000000-0000-0000-0000-000000000000}"/>
  <bookViews>
    <workbookView xWindow="-108" yWindow="-108" windowWidth="23256" windowHeight="12456" activeTab="2" xr2:uid="{2DF6512B-5708-4C67-9988-5E8AA7616E67}"/>
  </bookViews>
  <sheets>
    <sheet name="Domain" sheetId="3" r:id="rId1"/>
    <sheet name="Nhu cầu tuyển dụng theo Cấp bậc" sheetId="2" r:id="rId2"/>
    <sheet name="Sheet1" sheetId="1" r:id="rId3"/>
  </sheets>
  <definedNames>
    <definedName name="ExternalData_1" localSheetId="1" hidden="1">'Nhu cầu tuyển dụng theo Cấp bậc'!$A$1:$C$13</definedName>
    <definedName name="ExternalData_2" localSheetId="0" hidden="1">Domain!$A$1:$C$38</definedName>
    <definedName name="ExternalData_3" localSheetId="0" hidden="1">Domain!$A$44:$B$54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7" i="1" l="1" a="1"/>
  <c r="J31" i="1" a="1"/>
  <c r="J24" i="1" a="1"/>
  <c r="J16" i="1" a="1"/>
  <c r="J9" i="1" a="1"/>
  <c r="I9" i="1" a="1"/>
  <c r="I2" i="1" a="1"/>
  <c r="K24" i="3"/>
  <c r="K19" i="3"/>
  <c r="K18" i="3"/>
  <c r="K21" i="3"/>
  <c r="K27" i="3"/>
  <c r="K25" i="3"/>
  <c r="K23" i="3"/>
  <c r="K26" i="3"/>
  <c r="K22" i="3"/>
  <c r="K20" i="3"/>
  <c r="K5" i="3"/>
  <c r="K6" i="3"/>
  <c r="K7" i="3"/>
  <c r="K8" i="3"/>
  <c r="K9" i="3"/>
  <c r="K10" i="3"/>
  <c r="K11" i="3"/>
  <c r="K12" i="3"/>
  <c r="K13" i="3"/>
  <c r="K4" i="3"/>
  <c r="G33" i="3"/>
  <c r="H33" i="3"/>
  <c r="I33" i="3"/>
  <c r="J33" i="3"/>
  <c r="G34" i="3"/>
  <c r="H34" i="3"/>
  <c r="I34" i="3"/>
  <c r="J34" i="3"/>
  <c r="G35" i="3"/>
  <c r="H35" i="3"/>
  <c r="I35" i="3"/>
  <c r="J35" i="3"/>
  <c r="G36" i="3"/>
  <c r="H36" i="3"/>
  <c r="I36" i="3"/>
  <c r="J36" i="3"/>
  <c r="G38" i="3"/>
  <c r="H38" i="3"/>
  <c r="I38" i="3"/>
  <c r="J38" i="3"/>
  <c r="G39" i="3"/>
  <c r="H39" i="3"/>
  <c r="I39" i="3"/>
  <c r="J39" i="3"/>
  <c r="G40" i="3"/>
  <c r="H40" i="3"/>
  <c r="I40" i="3"/>
  <c r="J40" i="3"/>
  <c r="G41" i="3"/>
  <c r="H41" i="3"/>
  <c r="I41" i="3"/>
  <c r="J41" i="3"/>
  <c r="H37" i="3" l="1"/>
  <c r="J37" i="3"/>
  <c r="G37" i="3"/>
  <c r="I37" i="3"/>
  <c r="G32" i="3"/>
  <c r="J32" i="3"/>
  <c r="I32" i="3"/>
  <c r="H3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0A297C-53FB-43A3-BF0B-DA33347335E7}" keepAlive="1" name="Query - Domain" description="Connection to the 'Domain' query in the workbook." type="5" refreshedVersion="8" background="1" saveData="1">
    <dbPr connection="Provider=Microsoft.Mashup.OleDb.1;Data Source=$Workbook$;Location=Domain;Extended Properties=&quot;&quot;" command="SELECT * FROM [Domain]"/>
  </connection>
  <connection id="2" xr16:uid="{18A1729D-8ACA-40B5-B871-2193B6FAD745}" keepAlive="1" name="Query - Domain 1" description="Connection to the 'Domain 1' query in the workbook." type="5" refreshedVersion="8" background="1" saveData="1">
    <dbPr connection="Provider=Microsoft.Mashup.OleDb.1;Data Source=$Workbook$;Location=&quot;Domain 1&quot;;Extended Properties=&quot;&quot;" command="SELECT * FROM [Domain 1]"/>
  </connection>
  <connection id="3" xr16:uid="{F3CC17CF-B3D7-4368-BF25-68CCED1A0698}" keepAlive="1" name="Query - Nhu cầu tuyển dụng theo Cấp bậc" description="Connection to the 'Nhu cầu tuyển dụng theo Cấp bậc' query in the workbook." type="5" refreshedVersion="8" background="1" saveData="1">
    <dbPr connection="Provider=Microsoft.Mashup.OleDb.1;Data Source=$Workbook$;Location=&quot;Nhu cầu tuyển dụng theo Cấp bậc&quot;;Extended Properties=&quot;&quot;" command="SELECT * FROM [Nhu cầu tuyển dụng theo Cấp bậc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<sst xmlns="http://schemas.openxmlformats.org/spreadsheetml/2006/main" count="251" uniqueCount="37">
  <si>
    <t>job_position</t>
  </si>
  <si>
    <t>Việc làm</t>
  </si>
  <si>
    <t>Ngành nghề</t>
  </si>
  <si>
    <t>Nhân viên</t>
  </si>
  <si>
    <t>Data Analyst / BI</t>
  </si>
  <si>
    <t>AI / Machine Learning</t>
  </si>
  <si>
    <t>Trưởng nhóm</t>
  </si>
  <si>
    <t>Không đề cập</t>
  </si>
  <si>
    <t>Intern/ Fresher</t>
  </si>
  <si>
    <t>Lãnh đạo / Quản lý</t>
  </si>
  <si>
    <t>Trưởng phòng</t>
  </si>
  <si>
    <t>Column Labels</t>
  </si>
  <si>
    <t>Grand Total</t>
  </si>
  <si>
    <t>Sum of Việc làm</t>
  </si>
  <si>
    <t>Row Labels</t>
  </si>
  <si>
    <t>Cấp bậc</t>
  </si>
  <si>
    <t>Lĩnh vực</t>
  </si>
  <si>
    <t>Total Job</t>
  </si>
  <si>
    <t>role_name</t>
  </si>
  <si>
    <t>Công nghệ - Phần mềm</t>
  </si>
  <si>
    <t>Tài chính - Ngân hàng</t>
  </si>
  <si>
    <t>Data Engineer</t>
  </si>
  <si>
    <t>Thương mại điện tử - Bán lẻ</t>
  </si>
  <si>
    <t>Dịch vụ - Truyền thông</t>
  </si>
  <si>
    <t>Sản xuất - Logistics</t>
  </si>
  <si>
    <t>Data Science</t>
  </si>
  <si>
    <t>Giáo dục</t>
  </si>
  <si>
    <t>Y tế</t>
  </si>
  <si>
    <t>Khác</t>
  </si>
  <si>
    <t>Game</t>
  </si>
  <si>
    <t>Nhân sự</t>
  </si>
  <si>
    <t>Sum of Total Job</t>
  </si>
  <si>
    <t>Total</t>
  </si>
  <si>
    <t>Tỷ lệ % của mỗi ngành bên trong từng lĩnh vực</t>
  </si>
  <si>
    <t>Nhóm chiếm 88% nhu cầu thị trường</t>
  </si>
  <si>
    <t>Column1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</si>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</sst>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b/>
      <sz val="20"/>
      <color theme="3" tint="0.249977111117893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9" fontId="3" fillId="0" borderId="0" xfId="0" applyNumberFormat="1" applyFont="1"/>
    <xf numFmtId="0" fontId="5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top"/>
    </xf>
    <xf numFmtId="0" fontId="0" fillId="3" borderId="0" xfId="0" applyFill="1" applyAlignment="1">
      <alignment vertical="center"/>
    </xf>
    <xf numFmtId="9" fontId="4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8">
    <dxf>
      <font>
        <b/>
        <i val="0"/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2E5C8A"/>
      <color rgb="FFA6BBD2"/>
      <color rgb="FF698DB3"/>
      <color rgb="FF23678D"/>
      <color rgb="FFB3D1E3"/>
      <color rgb="FF387398"/>
      <color rgb="FF215C98"/>
      <color rgb="FF438BB7"/>
      <color rgb="FF5395D1"/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799300087489065"/>
          <c:y val="0.13394727338389309"/>
          <c:w val="0.75200699912510938"/>
          <c:h val="0.86244131455399065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'Nhu cầu tuyển dụng theo Cấp bậc'!$C$16</c:f>
              <c:strCache>
                <c:ptCount val="1"/>
                <c:pt idx="0">
                  <c:v>Data Analyst / BI</c:v>
                </c:pt>
              </c:strCache>
            </c:strRef>
          </c:tx>
          <c:spPr>
            <a:solidFill>
              <a:srgbClr val="5395D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B54-4859-BBE0-9D74EF700EE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B54-4859-BBE0-9D74EF700EE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B54-4859-BBE0-9D74EF700EE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B54-4859-BBE0-9D74EF700E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'Nhu cầu tuyển dụng theo Cấp bậc'!$A$17:$A$22</c:f>
              <c:strCache>
                <c:ptCount val="6"/>
                <c:pt idx="0">
                  <c:v>Trưởng phòng</c:v>
                </c:pt>
                <c:pt idx="1">
                  <c:v>Lãnh đạo / Quản lý</c:v>
                </c:pt>
                <c:pt idx="2">
                  <c:v>Intern/ Fresher</c:v>
                </c:pt>
                <c:pt idx="3">
                  <c:v>Không đề cập</c:v>
                </c:pt>
                <c:pt idx="4">
                  <c:v>Trưởng nhóm</c:v>
                </c:pt>
                <c:pt idx="5">
                  <c:v>Nhân viên</c:v>
                </c:pt>
              </c:strCache>
            </c:strRef>
          </c:cat>
          <c:val>
            <c:numRef>
              <c:f>'Nhu cầu tuyển dụng theo Cấp bậc'!$C$17:$C$22</c:f>
              <c:numCache>
                <c:formatCode>General</c:formatCode>
                <c:ptCount val="6"/>
                <c:pt idx="0">
                  <c:v>23</c:v>
                </c:pt>
                <c:pt idx="1">
                  <c:v>18</c:v>
                </c:pt>
                <c:pt idx="2">
                  <c:v>49</c:v>
                </c:pt>
                <c:pt idx="3">
                  <c:v>39</c:v>
                </c:pt>
                <c:pt idx="4">
                  <c:v>72</c:v>
                </c:pt>
                <c:pt idx="5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4-4859-BBE0-9D74EF700EE6}"/>
            </c:ext>
          </c:extLst>
        </c:ser>
        <c:ser>
          <c:idx val="0"/>
          <c:order val="1"/>
          <c:tx>
            <c:strRef>
              <c:f>'Nhu cầu tuyển dụng theo Cấp bậc'!$B$16</c:f>
              <c:strCache>
                <c:ptCount val="1"/>
                <c:pt idx="0">
                  <c:v>AI / Machine Learning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54-4859-BBE0-9D74EF700EE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54-4859-BBE0-9D74EF700EE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54-4859-BBE0-9D74EF700E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'Nhu cầu tuyển dụng theo Cấp bậc'!$A$17:$A$22</c:f>
              <c:strCache>
                <c:ptCount val="6"/>
                <c:pt idx="0">
                  <c:v>Trưởng phòng</c:v>
                </c:pt>
                <c:pt idx="1">
                  <c:v>Lãnh đạo / Quản lý</c:v>
                </c:pt>
                <c:pt idx="2">
                  <c:v>Intern/ Fresher</c:v>
                </c:pt>
                <c:pt idx="3">
                  <c:v>Không đề cập</c:v>
                </c:pt>
                <c:pt idx="4">
                  <c:v>Trưởng nhóm</c:v>
                </c:pt>
                <c:pt idx="5">
                  <c:v>Nhân viên</c:v>
                </c:pt>
              </c:strCache>
            </c:strRef>
          </c:cat>
          <c:val>
            <c:numRef>
              <c:f>'Nhu cầu tuyển dụng theo Cấp bậc'!$B$17:$B$22</c:f>
              <c:numCache>
                <c:formatCode>General</c:formatCode>
                <c:ptCount val="6"/>
                <c:pt idx="0">
                  <c:v>15</c:v>
                </c:pt>
                <c:pt idx="1">
                  <c:v>25</c:v>
                </c:pt>
                <c:pt idx="2">
                  <c:v>48</c:v>
                </c:pt>
                <c:pt idx="3">
                  <c:v>147</c:v>
                </c:pt>
                <c:pt idx="4">
                  <c:v>166</c:v>
                </c:pt>
                <c:pt idx="5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4-4859-BBE0-9D74EF700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8711599"/>
        <c:axId val="166823663"/>
      </c:barChart>
      <c:catAx>
        <c:axId val="27871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3663"/>
        <c:crosses val="autoZero"/>
        <c:auto val="1"/>
        <c:lblAlgn val="ctr"/>
        <c:lblOffset val="100"/>
        <c:noMultiLvlLbl val="0"/>
      </c:catAx>
      <c:valAx>
        <c:axId val="166823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8711599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901867808976709"/>
          <c:y val="0.19469816272965879"/>
          <c:w val="0.72433949883623039"/>
          <c:h val="0.6839461012255357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87398">
                <a:alpha val="97000"/>
              </a:srgbClr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  <a:alpha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B6-47DE-B858-A45A84E7DA5C}"/>
              </c:ext>
            </c:extLst>
          </c:dPt>
          <c:dPt>
            <c:idx val="1"/>
            <c:invertIfNegative val="0"/>
            <c:bubble3D val="0"/>
            <c:spPr>
              <a:solidFill>
                <a:srgbClr val="A6BBD2">
                  <a:alpha val="85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B6-47DE-B858-A45A84E7DA5C}"/>
              </c:ext>
            </c:extLst>
          </c:dPt>
          <c:dPt>
            <c:idx val="2"/>
            <c:invertIfNegative val="0"/>
            <c:bubble3D val="0"/>
            <c:spPr>
              <a:solidFill>
                <a:srgbClr val="A6BBD2">
                  <a:alpha val="85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B6-47DE-B858-A45A84E7DA5C}"/>
              </c:ext>
            </c:extLst>
          </c:dPt>
          <c:dPt>
            <c:idx val="3"/>
            <c:invertIfNegative val="0"/>
            <c:bubble3D val="0"/>
            <c:spPr>
              <a:solidFill>
                <a:srgbClr val="2E5C8A">
                  <a:alpha val="96863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8B6-47DE-B858-A45A84E7DA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Sheet1!$L$3:$L$6</c:f>
              <c:strCache>
                <c:ptCount val="4"/>
                <c:pt idx="0">
                  <c:v>Data Science</c:v>
                </c:pt>
                <c:pt idx="1">
                  <c:v>Data Engineer</c:v>
                </c:pt>
                <c:pt idx="2">
                  <c:v>AI / Machine Learning</c:v>
                </c:pt>
                <c:pt idx="3">
                  <c:v>Data Analyst / BI</c:v>
                </c:pt>
              </c:strCache>
            </c:strRef>
          </c:cat>
          <c:val>
            <c:numRef>
              <c:f>Sheet1!$M$3:$M$6</c:f>
              <c:numCache>
                <c:formatCode>0%</c:formatCode>
                <c:ptCount val="4"/>
                <c:pt idx="0">
                  <c:v>3.5714285714285712E-2</c:v>
                </c:pt>
                <c:pt idx="1">
                  <c:v>0.14285714285714285</c:v>
                </c:pt>
                <c:pt idx="2">
                  <c:v>0.25</c:v>
                </c:pt>
                <c:pt idx="3">
                  <c:v>0.4642857142857143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B6-47DE-B858-A45A84E7DA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380255984"/>
        <c:axId val="5436208"/>
      </c:barChart>
      <c:valAx>
        <c:axId val="5436208"/>
        <c:scaling>
          <c:orientation val="minMax"/>
          <c:max val="0.5"/>
        </c:scaling>
        <c:delete val="1"/>
        <c:axPos val="b"/>
        <c:numFmt formatCode="0%" sourceLinked="1"/>
        <c:majorTickMark val="out"/>
        <c:minorTickMark val="none"/>
        <c:tickLblPos val="nextTo"/>
        <c:crossAx val="380255984"/>
        <c:crosses val="autoZero"/>
        <c:crossBetween val="between"/>
        <c:majorUnit val="0.1"/>
      </c:valAx>
      <c:catAx>
        <c:axId val="380255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2E5C8A"/>
                </a:solidFill>
                <a:effectLst/>
              </a:rPr>
              <a:t>Tài chính - Ngân hàng phân bố đồng đều giữa DA - DE - AI &amp; giữ tỷ trọng DS cao nhất</a:t>
            </a:r>
            <a:endParaRPr lang="en-US" sz="1600" b="1">
              <a:solidFill>
                <a:srgbClr val="2E5C8A"/>
              </a:solidFill>
            </a:endParaRPr>
          </a:p>
        </c:rich>
      </c:tx>
      <c:layout>
        <c:manualLayout>
          <c:xMode val="edge"/>
          <c:yMode val="edge"/>
          <c:x val="6.0104745859935561E-2"/>
          <c:y val="2.1621621621621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22245701715401E-2"/>
          <c:y val="0.13365765765765766"/>
          <c:w val="0.93954365927901184"/>
          <c:h val="0.710781017237710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Sheet1!$D$17</c:f>
              <c:strCache>
                <c:ptCount val="1"/>
                <c:pt idx="0">
                  <c:v>Data Science</c:v>
                </c:pt>
              </c:strCache>
            </c:strRef>
          </c:tx>
          <c:spPr>
            <a:solidFill>
              <a:srgbClr val="2E5C8A"/>
            </a:solidFill>
            <a:ln>
              <a:noFill/>
            </a:ln>
            <a:effectLst/>
          </c:spPr>
          <c:invertIfNegative val="0"/>
          <c:cat>
            <c:strRef>
              <c:f>Sheet1!$C$18:$C$26</c:f>
              <c:strCache>
                <c:ptCount val="9"/>
                <c:pt idx="0">
                  <c:v>Công nghệ - Phần mềm</c:v>
                </c:pt>
                <c:pt idx="1">
                  <c:v>Dịch vụ - Truyền thông</c:v>
                </c:pt>
                <c:pt idx="2">
                  <c:v>Nhân sự</c:v>
                </c:pt>
                <c:pt idx="3">
                  <c:v>Giáo dục</c:v>
                </c:pt>
                <c:pt idx="4">
                  <c:v>Tài chính - Ngân hàng</c:v>
                </c:pt>
                <c:pt idx="5">
                  <c:v>Sản xuất - Logistics</c:v>
                </c:pt>
                <c:pt idx="6">
                  <c:v>Y tế</c:v>
                </c:pt>
                <c:pt idx="7">
                  <c:v>Thương mại điện tử - Bán lẻ</c:v>
                </c:pt>
                <c:pt idx="8">
                  <c:v>Game</c:v>
                </c:pt>
              </c:strCache>
            </c:strRef>
          </c:cat>
          <c:val>
            <c:numRef>
              <c:f>Sheet1!$D$18:$D$26</c:f>
              <c:numCache>
                <c:formatCode>0%</c:formatCode>
                <c:ptCount val="9"/>
                <c:pt idx="0">
                  <c:v>2.9282576866764276E-2</c:v>
                </c:pt>
                <c:pt idx="1">
                  <c:v>1.2269938650306749E-2</c:v>
                </c:pt>
                <c:pt idx="2">
                  <c:v>0</c:v>
                </c:pt>
                <c:pt idx="3">
                  <c:v>0</c:v>
                </c:pt>
                <c:pt idx="4">
                  <c:v>8.0445544554455448E-2</c:v>
                </c:pt>
                <c:pt idx="5">
                  <c:v>6.3291139240506328E-3</c:v>
                </c:pt>
                <c:pt idx="6">
                  <c:v>2.4096385542168676E-2</c:v>
                </c:pt>
                <c:pt idx="7">
                  <c:v>2.1052631578947368E-2</c:v>
                </c:pt>
                <c:pt idx="8">
                  <c:v>3.5714285714285712E-2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E-4A73-816E-E72101234654}"/>
            </c:ext>
          </c:extLst>
        </c:ser>
        <c:ser>
          <c:idx val="1"/>
          <c:order val="1"/>
          <c:tx>
            <c:strRef>
              <c:f>Sheet1!$E$17</c:f>
              <c:strCache>
                <c:ptCount val="1"/>
                <c:pt idx="0">
                  <c:v>Data Engineer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698DB3">
                  <a:alpha val="85000"/>
                </a:srgbClr>
              </a:solidFill>
              <a:ln>
                <a:noFill/>
              </a:ln>
              <a:effectLst/>
            </c:spPr>
          </c:dPt>
          <c:cat>
            <c:strRef>
              <c:f>Sheet1!$C$18:$C$26</c:f>
              <c:strCache>
                <c:ptCount val="9"/>
                <c:pt idx="0">
                  <c:v>Công nghệ - Phần mềm</c:v>
                </c:pt>
                <c:pt idx="1">
                  <c:v>Dịch vụ - Truyền thông</c:v>
                </c:pt>
                <c:pt idx="2">
                  <c:v>Nhân sự</c:v>
                </c:pt>
                <c:pt idx="3">
                  <c:v>Giáo dục</c:v>
                </c:pt>
                <c:pt idx="4">
                  <c:v>Tài chính - Ngân hàng</c:v>
                </c:pt>
                <c:pt idx="5">
                  <c:v>Sản xuất - Logistics</c:v>
                </c:pt>
                <c:pt idx="6">
                  <c:v>Y tế</c:v>
                </c:pt>
                <c:pt idx="7">
                  <c:v>Thương mại điện tử - Bán lẻ</c:v>
                </c:pt>
                <c:pt idx="8">
                  <c:v>Game</c:v>
                </c:pt>
              </c:strCache>
            </c:strRef>
          </c:cat>
          <c:val>
            <c:numRef>
              <c:f>Sheet1!$E$18:$E$26</c:f>
              <c:numCache>
                <c:formatCode>0%</c:formatCode>
                <c:ptCount val="9"/>
                <c:pt idx="0">
                  <c:v>0.24011713030746706</c:v>
                </c:pt>
                <c:pt idx="1">
                  <c:v>0.12576687116564417</c:v>
                </c:pt>
                <c:pt idx="2">
                  <c:v>0.14705882352941177</c:v>
                </c:pt>
                <c:pt idx="3">
                  <c:v>5.2083333333333336E-2</c:v>
                </c:pt>
                <c:pt idx="4">
                  <c:v>0.19183168316831684</c:v>
                </c:pt>
                <c:pt idx="5">
                  <c:v>0.11708860759493671</c:v>
                </c:pt>
                <c:pt idx="6">
                  <c:v>2.4096385542168676E-2</c:v>
                </c:pt>
                <c:pt idx="7">
                  <c:v>9.2105263157894732E-2</c:v>
                </c:pt>
                <c:pt idx="8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0E-4A73-816E-E72101234654}"/>
            </c:ext>
          </c:extLst>
        </c:ser>
        <c:ser>
          <c:idx val="2"/>
          <c:order val="2"/>
          <c:tx>
            <c:strRef>
              <c:f>Sheet1!$F$17</c:f>
              <c:strCache>
                <c:ptCount val="1"/>
                <c:pt idx="0">
                  <c:v>AI / Machine Learning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698DB3">
                  <a:alpha val="85000"/>
                </a:srgbClr>
              </a:solidFill>
              <a:ln>
                <a:noFill/>
              </a:ln>
              <a:effectLst/>
            </c:spPr>
          </c:dPt>
          <c:cat>
            <c:strRef>
              <c:f>Sheet1!$C$18:$C$26</c:f>
              <c:strCache>
                <c:ptCount val="9"/>
                <c:pt idx="0">
                  <c:v>Công nghệ - Phần mềm</c:v>
                </c:pt>
                <c:pt idx="1">
                  <c:v>Dịch vụ - Truyền thông</c:v>
                </c:pt>
                <c:pt idx="2">
                  <c:v>Nhân sự</c:v>
                </c:pt>
                <c:pt idx="3">
                  <c:v>Giáo dục</c:v>
                </c:pt>
                <c:pt idx="4">
                  <c:v>Tài chính - Ngân hàng</c:v>
                </c:pt>
                <c:pt idx="5">
                  <c:v>Sản xuất - Logistics</c:v>
                </c:pt>
                <c:pt idx="6">
                  <c:v>Y tế</c:v>
                </c:pt>
                <c:pt idx="7">
                  <c:v>Thương mại điện tử - Bán lẻ</c:v>
                </c:pt>
                <c:pt idx="8">
                  <c:v>Game</c:v>
                </c:pt>
              </c:strCache>
            </c:strRef>
          </c:cat>
          <c:val>
            <c:numRef>
              <c:f>Sheet1!$F$18:$F$26</c:f>
              <c:numCache>
                <c:formatCode>0%</c:formatCode>
                <c:ptCount val="9"/>
                <c:pt idx="0">
                  <c:v>0.35724743777452417</c:v>
                </c:pt>
                <c:pt idx="1">
                  <c:v>0.24233128834355827</c:v>
                </c:pt>
                <c:pt idx="2">
                  <c:v>4.4117647058823532E-2</c:v>
                </c:pt>
                <c:pt idx="3">
                  <c:v>0.14583333333333334</c:v>
                </c:pt>
                <c:pt idx="4">
                  <c:v>0.18811881188118812</c:v>
                </c:pt>
                <c:pt idx="5">
                  <c:v>0.1550632911392405</c:v>
                </c:pt>
                <c:pt idx="6">
                  <c:v>0.12048192771084337</c:v>
                </c:pt>
                <c:pt idx="7">
                  <c:v>9.7368421052631576E-2</c:v>
                </c:pt>
                <c:pt idx="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0E-4A73-816E-E72101234654}"/>
            </c:ext>
          </c:extLst>
        </c:ser>
        <c:ser>
          <c:idx val="3"/>
          <c:order val="3"/>
          <c:tx>
            <c:strRef>
              <c:f>Sheet1!$G$17</c:f>
              <c:strCache>
                <c:ptCount val="1"/>
                <c:pt idx="0">
                  <c:v>Data Analyst / BI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698DB3">
                  <a:alpha val="85000"/>
                </a:srgbClr>
              </a:solidFill>
              <a:ln>
                <a:noFill/>
              </a:ln>
              <a:effectLst/>
            </c:spPr>
          </c:dPt>
          <c:cat>
            <c:strRef>
              <c:f>Sheet1!$C$18:$C$26</c:f>
              <c:strCache>
                <c:ptCount val="9"/>
                <c:pt idx="0">
                  <c:v>Công nghệ - Phần mềm</c:v>
                </c:pt>
                <c:pt idx="1">
                  <c:v>Dịch vụ - Truyền thông</c:v>
                </c:pt>
                <c:pt idx="2">
                  <c:v>Nhân sự</c:v>
                </c:pt>
                <c:pt idx="3">
                  <c:v>Giáo dục</c:v>
                </c:pt>
                <c:pt idx="4">
                  <c:v>Tài chính - Ngân hàng</c:v>
                </c:pt>
                <c:pt idx="5">
                  <c:v>Sản xuất - Logistics</c:v>
                </c:pt>
                <c:pt idx="6">
                  <c:v>Y tế</c:v>
                </c:pt>
                <c:pt idx="7">
                  <c:v>Thương mại điện tử - Bán lẻ</c:v>
                </c:pt>
                <c:pt idx="8">
                  <c:v>Game</c:v>
                </c:pt>
              </c:strCache>
            </c:strRef>
          </c:cat>
          <c:val>
            <c:numRef>
              <c:f>Sheet1!$G$18:$G$26</c:f>
              <c:numCache>
                <c:formatCode>0%</c:formatCode>
                <c:ptCount val="9"/>
                <c:pt idx="0">
                  <c:v>0.12445095168374817</c:v>
                </c:pt>
                <c:pt idx="1">
                  <c:v>0.12883435582822086</c:v>
                </c:pt>
                <c:pt idx="2">
                  <c:v>0.19117647058823528</c:v>
                </c:pt>
                <c:pt idx="3">
                  <c:v>0.21875</c:v>
                </c:pt>
                <c:pt idx="4">
                  <c:v>0.22400990099009901</c:v>
                </c:pt>
                <c:pt idx="5">
                  <c:v>0.24367088607594936</c:v>
                </c:pt>
                <c:pt idx="6">
                  <c:v>0.25301204819277107</c:v>
                </c:pt>
                <c:pt idx="7">
                  <c:v>0.26842105263157895</c:v>
                </c:pt>
                <c:pt idx="8">
                  <c:v>0.4642857142857143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0E-4A73-816E-E72101234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0809920"/>
        <c:axId val="5353648"/>
      </c:barChart>
      <c:catAx>
        <c:axId val="27080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648"/>
        <c:crosses val="autoZero"/>
        <c:auto val="1"/>
        <c:lblAlgn val="ctr"/>
        <c:lblOffset val="100"/>
        <c:noMultiLvlLbl val="0"/>
      </c:catAx>
      <c:valAx>
        <c:axId val="53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8099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518692050546023E-2"/>
          <c:y val="0.1780875363552529"/>
          <c:w val="0.14124109142004632"/>
          <c:h val="0.243244945733134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Data Analyst / BI</a:t>
            </a:r>
          </a:p>
        </c:rich>
      </c:tx>
      <c:layout>
        <c:manualLayout>
          <c:xMode val="edge"/>
          <c:yMode val="edge"/>
          <c:x val="0.40721454789137818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Sheet1!$G$17</c:f>
              <c:strCache>
                <c:ptCount val="1"/>
                <c:pt idx="0">
                  <c:v>Data Analyst / BI</c:v>
                </c:pt>
              </c:strCache>
            </c:strRef>
          </c:tx>
          <c:spPr>
            <a:solidFill>
              <a:srgbClr val="A6BBD2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2E5C8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BA-40E2-B123-9569FB396D51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1BA-40E2-B123-9569FB396D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Sheet1!$C$18:$C$26</c:f>
              <c:strCache>
                <c:ptCount val="9"/>
                <c:pt idx="0">
                  <c:v>Công nghệ - Phần mềm</c:v>
                </c:pt>
                <c:pt idx="1">
                  <c:v>Dịch vụ - Truyền thông</c:v>
                </c:pt>
                <c:pt idx="2">
                  <c:v>Nhân sự</c:v>
                </c:pt>
                <c:pt idx="3">
                  <c:v>Giáo dục</c:v>
                </c:pt>
                <c:pt idx="4">
                  <c:v>Tài chính - Ngân hàng</c:v>
                </c:pt>
                <c:pt idx="5">
                  <c:v>Sản xuất - Logistics</c:v>
                </c:pt>
                <c:pt idx="6">
                  <c:v>Y tế</c:v>
                </c:pt>
                <c:pt idx="7">
                  <c:v>Thương mại điện tử - Bán lẻ</c:v>
                </c:pt>
                <c:pt idx="8">
                  <c:v>Game</c:v>
                </c:pt>
              </c:strCache>
            </c:strRef>
          </c:cat>
          <c:val>
            <c:numRef>
              <c:f>Sheet1!$G$18:$G$26</c:f>
              <c:numCache>
                <c:formatCode>0%</c:formatCode>
                <c:ptCount val="9"/>
                <c:pt idx="0">
                  <c:v>0.12445095168374817</c:v>
                </c:pt>
                <c:pt idx="1">
                  <c:v>0.12883435582822086</c:v>
                </c:pt>
                <c:pt idx="2">
                  <c:v>0.19117647058823528</c:v>
                </c:pt>
                <c:pt idx="3">
                  <c:v>0.21875</c:v>
                </c:pt>
                <c:pt idx="4">
                  <c:v>0.22400990099009901</c:v>
                </c:pt>
                <c:pt idx="5">
                  <c:v>0.24367088607594936</c:v>
                </c:pt>
                <c:pt idx="6">
                  <c:v>0.25301204819277107</c:v>
                </c:pt>
                <c:pt idx="7">
                  <c:v>0.26842105263157895</c:v>
                </c:pt>
                <c:pt idx="8">
                  <c:v>0.4642857142857143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A-40E2-B123-9569FB396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354170544"/>
        <c:axId val="1357964368"/>
      </c:barChart>
      <c:catAx>
        <c:axId val="135417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64368"/>
        <c:crosses val="autoZero"/>
        <c:auto val="1"/>
        <c:lblAlgn val="ctr"/>
        <c:lblOffset val="100"/>
        <c:noMultiLvlLbl val="0"/>
      </c:catAx>
      <c:valAx>
        <c:axId val="13579643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35417054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Game</a:t>
            </a:r>
          </a:p>
        </c:rich>
      </c:tx>
      <c:layout>
        <c:manualLayout>
          <c:xMode val="edge"/>
          <c:yMode val="edge"/>
          <c:x val="0.29692982456140349"/>
          <c:y val="0.1358695652173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065197442424962"/>
          <c:y val="0.31245150062763893"/>
          <c:w val="0.63669138397174041"/>
          <c:h val="0.6839461012255357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87398">
                <a:alpha val="97000"/>
              </a:srgbClr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  <a:alpha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D3-481D-A4EE-F89B59A0A3FB}"/>
              </c:ext>
            </c:extLst>
          </c:dPt>
          <c:dPt>
            <c:idx val="1"/>
            <c:invertIfNegative val="0"/>
            <c:bubble3D val="0"/>
            <c:spPr>
              <a:solidFill>
                <a:srgbClr val="A6BBD2">
                  <a:alpha val="85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D3-481D-A4EE-F89B59A0A3FB}"/>
              </c:ext>
            </c:extLst>
          </c:dPt>
          <c:dPt>
            <c:idx val="2"/>
            <c:invertIfNegative val="0"/>
            <c:bubble3D val="0"/>
            <c:spPr>
              <a:solidFill>
                <a:srgbClr val="A6BBD2">
                  <a:alpha val="85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D3-481D-A4EE-F89B59A0A3FB}"/>
              </c:ext>
            </c:extLst>
          </c:dPt>
          <c:dPt>
            <c:idx val="3"/>
            <c:invertIfNegative val="0"/>
            <c:bubble3D val="0"/>
            <c:spPr>
              <a:solidFill>
                <a:srgbClr val="2E5C8A">
                  <a:alpha val="96863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D3-481D-A4EE-F89B59A0A3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Sheet1!$L$3:$L$6</c:f>
              <c:strCache>
                <c:ptCount val="4"/>
                <c:pt idx="0">
                  <c:v>Data Science</c:v>
                </c:pt>
                <c:pt idx="1">
                  <c:v>Data Engineer</c:v>
                </c:pt>
                <c:pt idx="2">
                  <c:v>AI / Machine Learning</c:v>
                </c:pt>
                <c:pt idx="3">
                  <c:v>Data Analyst / BI</c:v>
                </c:pt>
              </c:strCache>
            </c:strRef>
          </c:cat>
          <c:val>
            <c:numRef>
              <c:f>Sheet1!$M$3:$M$6</c:f>
              <c:numCache>
                <c:formatCode>0%</c:formatCode>
                <c:ptCount val="4"/>
                <c:pt idx="0">
                  <c:v>3.5714285714285712E-2</c:v>
                </c:pt>
                <c:pt idx="1">
                  <c:v>0.14285714285714285</c:v>
                </c:pt>
                <c:pt idx="2">
                  <c:v>0.25</c:v>
                </c:pt>
                <c:pt idx="3">
                  <c:v>0.4642857142857143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D3-481D-A4EE-F89B59A0A3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380255984"/>
        <c:axId val="5436208"/>
      </c:barChart>
      <c:valAx>
        <c:axId val="5436208"/>
        <c:scaling>
          <c:orientation val="minMax"/>
          <c:max val="0.5"/>
        </c:scaling>
        <c:delete val="1"/>
        <c:axPos val="b"/>
        <c:numFmt formatCode="0%" sourceLinked="1"/>
        <c:majorTickMark val="out"/>
        <c:minorTickMark val="none"/>
        <c:tickLblPos val="nextTo"/>
        <c:crossAx val="380255984"/>
        <c:crosses val="autoZero"/>
        <c:crossBetween val="between"/>
        <c:majorUnit val="0.1"/>
      </c:valAx>
      <c:catAx>
        <c:axId val="380255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2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14</xdr:row>
      <xdr:rowOff>83820</xdr:rowOff>
    </xdr:from>
    <xdr:to>
      <xdr:col>11</xdr:col>
      <xdr:colOff>30480</xdr:colOff>
      <xdr:row>17</xdr:row>
      <xdr:rowOff>45720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87E15A0-22E9-471C-8779-BA33F77DDD1C}"/>
            </a:ext>
          </a:extLst>
        </xdr:cNvPr>
        <xdr:cNvSpPr/>
      </xdr:nvSpPr>
      <xdr:spPr>
        <a:xfrm>
          <a:off x="4632960" y="2644140"/>
          <a:ext cx="5593080" cy="51054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320040</xdr:colOff>
      <xdr:row>17</xdr:row>
      <xdr:rowOff>30480</xdr:rowOff>
    </xdr:from>
    <xdr:to>
      <xdr:col>11</xdr:col>
      <xdr:colOff>30480</xdr:colOff>
      <xdr:row>23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C88B5A9-9E15-BBBD-F7A0-435617B7ACB5}"/>
            </a:ext>
          </a:extLst>
        </xdr:cNvPr>
        <xdr:cNvSpPr/>
      </xdr:nvSpPr>
      <xdr:spPr>
        <a:xfrm>
          <a:off x="4632960" y="3139440"/>
          <a:ext cx="5593080" cy="10668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68580</xdr:colOff>
      <xdr:row>11</xdr:row>
      <xdr:rowOff>72390</xdr:rowOff>
    </xdr:from>
    <xdr:to>
      <xdr:col>10</xdr:col>
      <xdr:colOff>533400</xdr:colOff>
      <xdr:row>32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A52B2-458C-A45C-E2B7-02F596471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243840</xdr:colOff>
      <xdr:row>11</xdr:row>
      <xdr:rowOff>160020</xdr:rowOff>
    </xdr:from>
    <xdr:to>
      <xdr:col>11</xdr:col>
      <xdr:colOff>15240</xdr:colOff>
      <xdr:row>13</xdr:row>
      <xdr:rowOff>160020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04F114-5284-F8CA-5C52-5FA72E9F17C5}"/>
            </a:ext>
          </a:extLst>
        </xdr:cNvPr>
        <xdr:cNvSpPr txBox="1"/>
      </xdr:nvSpPr>
      <xdr:spPr>
        <a:xfrm>
          <a:off x="4556760" y="2171700"/>
          <a:ext cx="5654040" cy="3657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Nhu cầu tuyển dụng </a:t>
          </a:r>
          <a:r>
            <a:rPr lang="en-US" sz="14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AI / Machine Learning </a:t>
          </a:r>
          <a:r>
            <a:rPr lang="en-US" sz="1400" b="0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vs. </a:t>
          </a:r>
          <a:r>
            <a:rPr lang="en-US" sz="1400" b="1" i="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Data Analyst / BI</a:t>
          </a:r>
          <a:r>
            <a:rPr lang="en-US" sz="14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0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theo cấp bậc </a:t>
          </a:r>
          <a:endParaRPr lang="en-US" sz="1400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160020</xdr:colOff>
      <xdr:row>0</xdr:row>
      <xdr:rowOff>422910</xdr:rowOff>
    </xdr:from>
    <xdr:to>
      <xdr:col>24</xdr:col>
      <xdr:colOff>129540</xdr:colOff>
      <xdr:row>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DD708-5EEF-5EB9-D7C3-292C70355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106680</xdr:colOff>
      <xdr:row>10</xdr:row>
      <xdr:rowOff>110490</xdr:rowOff>
    </xdr:from>
    <xdr:to>
      <xdr:col>27</xdr:col>
      <xdr:colOff>480060</xdr:colOff>
      <xdr:row>28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F45229-ED54-DC6C-2F2B-1A0667E51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24</xdr:col>
      <xdr:colOff>0</xdr:colOff>
      <xdr:row>33</xdr:row>
      <xdr:rowOff>0</xdr:rowOff>
    </xdr:from>
    <xdr:to>
      <xdr:col>37</xdr:col>
      <xdr:colOff>372575</xdr:colOff>
      <xdr:row>52</xdr:row>
      <xdr:rowOff>49073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81D76D0-96DC-19F1-C6DA-E90E7115C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51140" y="8458200"/>
          <a:ext cx="8297375" cy="35237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125730</xdr:rowOff>
    </xdr:from>
    <xdr:to>
      <xdr:col>3</xdr:col>
      <xdr:colOff>701040</xdr:colOff>
      <xdr:row>45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E120B3-CBFD-8A63-951D-74AD62BDE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510540</xdr:colOff>
      <xdr:row>30</xdr:row>
      <xdr:rowOff>125730</xdr:rowOff>
    </xdr:from>
    <xdr:to>
      <xdr:col>7</xdr:col>
      <xdr:colOff>480060</xdr:colOff>
      <xdr:row>38</xdr:row>
      <xdr:rowOff>64770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081E35B-6216-41CD-B5BA-A5E2E94E9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29</xdr:row>
      <xdr:rowOff>114300</xdr:rowOff>
    </xdr:from>
    <xdr:to>
      <xdr:col>5</xdr:col>
      <xdr:colOff>472440</xdr:colOff>
      <xdr:row>31</xdr:row>
      <xdr:rowOff>91440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C4AE533-7317-C0D1-0C96-ED0FCEDF65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228" t="886" r="24902" b="89148"/>
        <a:stretch>
          <a:fillRect/>
        </a:stretch>
      </xdr:blipFill>
      <xdr:spPr>
        <a:xfrm>
          <a:off x="0" y="7840980"/>
          <a:ext cx="5905500" cy="342900"/>
        </a:xfrm>
        <a:prstGeom prst="rect">
          <a:avLst/>
        </a:prstGeom>
      </xdr:spPr>
    </xdr:pic>
    <xdr:clientData/>
  </xdr:twoCellAnchor>
  <xdr:twoCellAnchor>
    <xdr:from>
      <xdr:col>5</xdr:col>
      <xdr:colOff>289560</xdr:colOff>
      <xdr:row>29</xdr:row>
      <xdr:rowOff>129540</xdr:rowOff>
    </xdr:from>
    <xdr:to>
      <xdr:col>6</xdr:col>
      <xdr:colOff>53340</xdr:colOff>
      <xdr:row>31</xdr:row>
      <xdr:rowOff>45720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4874CB6-B48C-36AF-E7DE-91074CD98D11}"/>
            </a:ext>
          </a:extLst>
        </xdr:cNvPr>
        <xdr:cNvSpPr txBox="1"/>
      </xdr:nvSpPr>
      <xdr:spPr>
        <a:xfrm>
          <a:off x="5722620" y="7856220"/>
          <a:ext cx="70866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rgbClr val="2E5C8A"/>
              </a:solidFill>
            </a:rPr>
            <a:t>/ BI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 NGA" refreshedDate="46300.56972511574" createdVersion="8" refreshedVersion="8" minRefreshableVersion="3" recordCount="12" xr:uid="{7609CBB2-C82A-44A2-A34C-4B73083859CB}">
  <cacheSource type="worksheet">
    <worksheetSource name="Nhu_cầu_tuyển_dụng_theo_Cấp_bậc"/>
  </cacheSource>
  <cacheFields count="3">
    <cacheField name="job_position" numFmtId="0">
      <sharedItems count="6">
        <s v="Nhân viên"/>
        <s v="Trưởng nhóm"/>
        <s v="Không đề cập"/>
        <s v="Intern/ Fresher"/>
        <s v="Lãnh đạo / Quản lý"/>
        <s v="Trưởng phòng"/>
      </sharedItems>
    </cacheField>
    <cacheField name="Việc làm" numFmtId="0">
      <sharedItems containsSemiMixedTypes="0" containsString="0" containsNumber="1" containsInteger="1" minValue="15" maxValue="475"/>
    </cacheField>
    <cacheField name="Ngành nghề" numFmtId="0">
      <sharedItems count="2">
        <s v="Data Analyst / BI"/>
        <s v="AI / Machine Lear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 NGA" refreshedDate="46300.607475115743" createdVersion="8" refreshedVersion="8" minRefreshableVersion="3" recordCount="37" xr:uid="{5D94DBB4-1062-4ECC-986E-5151138529E5}">
  <cacheSource type="worksheet">
    <worksheetSource name="Domain"/>
  </cacheSource>
  <cacheFields count="3">
    <cacheField name="Lĩnh vực" numFmtId="0">
      <sharedItems count="10">
        <s v="Công nghệ - Phần mềm"/>
        <s v="Tài chính - Ngân hàng"/>
        <s v="Thương mại điện tử - Bán lẻ"/>
        <s v="Dịch vụ - Truyền thông"/>
        <s v="Sản xuất - Logistics"/>
        <s v="Giáo dục"/>
        <s v="Y tế"/>
        <s v="Khác"/>
        <s v="Game"/>
        <s v="Nhân sự"/>
      </sharedItems>
    </cacheField>
    <cacheField name="Total Job" numFmtId="0">
      <sharedItems containsSemiMixedTypes="0" containsString="0" containsNumber="1" containsInteger="1" minValue="1" maxValue="244"/>
    </cacheField>
    <cacheField name="role_name" numFmtId="0">
      <sharedItems count="4">
        <s v="AI / Machine Learning"/>
        <s v="Data Analyst / BI"/>
        <s v="Data Engineer"/>
        <s v="Data Scie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475"/>
    <x v="0"/>
  </r>
  <r>
    <x v="0"/>
    <n v="327"/>
    <x v="1"/>
  </r>
  <r>
    <x v="1"/>
    <n v="166"/>
    <x v="1"/>
  </r>
  <r>
    <x v="2"/>
    <n v="147"/>
    <x v="1"/>
  </r>
  <r>
    <x v="1"/>
    <n v="72"/>
    <x v="0"/>
  </r>
  <r>
    <x v="3"/>
    <n v="49"/>
    <x v="0"/>
  </r>
  <r>
    <x v="3"/>
    <n v="48"/>
    <x v="1"/>
  </r>
  <r>
    <x v="2"/>
    <n v="39"/>
    <x v="0"/>
  </r>
  <r>
    <x v="4"/>
    <n v="25"/>
    <x v="1"/>
  </r>
  <r>
    <x v="5"/>
    <n v="23"/>
    <x v="0"/>
  </r>
  <r>
    <x v="4"/>
    <n v="18"/>
    <x v="0"/>
  </r>
  <r>
    <x v="5"/>
    <n v="1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n v="244"/>
    <x v="0"/>
  </r>
  <r>
    <x v="1"/>
    <n v="181"/>
    <x v="1"/>
  </r>
  <r>
    <x v="0"/>
    <n v="164"/>
    <x v="2"/>
  </r>
  <r>
    <x v="1"/>
    <n v="155"/>
    <x v="2"/>
  </r>
  <r>
    <x v="1"/>
    <n v="152"/>
    <x v="0"/>
  </r>
  <r>
    <x v="2"/>
    <n v="102"/>
    <x v="1"/>
  </r>
  <r>
    <x v="0"/>
    <n v="85"/>
    <x v="1"/>
  </r>
  <r>
    <x v="3"/>
    <n v="79"/>
    <x v="0"/>
  </r>
  <r>
    <x v="4"/>
    <n v="77"/>
    <x v="1"/>
  </r>
  <r>
    <x v="1"/>
    <n v="65"/>
    <x v="3"/>
  </r>
  <r>
    <x v="4"/>
    <n v="49"/>
    <x v="0"/>
  </r>
  <r>
    <x v="3"/>
    <n v="42"/>
    <x v="1"/>
  </r>
  <r>
    <x v="3"/>
    <n v="41"/>
    <x v="2"/>
  </r>
  <r>
    <x v="4"/>
    <n v="37"/>
    <x v="2"/>
  </r>
  <r>
    <x v="2"/>
    <n v="37"/>
    <x v="0"/>
  </r>
  <r>
    <x v="2"/>
    <n v="35"/>
    <x v="2"/>
  </r>
  <r>
    <x v="5"/>
    <n v="21"/>
    <x v="1"/>
  </r>
  <r>
    <x v="6"/>
    <n v="21"/>
    <x v="1"/>
  </r>
  <r>
    <x v="0"/>
    <n v="20"/>
    <x v="3"/>
  </r>
  <r>
    <x v="7"/>
    <n v="17"/>
    <x v="1"/>
  </r>
  <r>
    <x v="5"/>
    <n v="14"/>
    <x v="0"/>
  </r>
  <r>
    <x v="8"/>
    <n v="13"/>
    <x v="1"/>
  </r>
  <r>
    <x v="9"/>
    <n v="13"/>
    <x v="1"/>
  </r>
  <r>
    <x v="9"/>
    <n v="10"/>
    <x v="2"/>
  </r>
  <r>
    <x v="6"/>
    <n v="10"/>
    <x v="0"/>
  </r>
  <r>
    <x v="7"/>
    <n v="9"/>
    <x v="2"/>
  </r>
  <r>
    <x v="7"/>
    <n v="8"/>
    <x v="0"/>
  </r>
  <r>
    <x v="2"/>
    <n v="8"/>
    <x v="3"/>
  </r>
  <r>
    <x v="8"/>
    <n v="7"/>
    <x v="0"/>
  </r>
  <r>
    <x v="5"/>
    <n v="5"/>
    <x v="2"/>
  </r>
  <r>
    <x v="3"/>
    <n v="4"/>
    <x v="3"/>
  </r>
  <r>
    <x v="8"/>
    <n v="4"/>
    <x v="2"/>
  </r>
  <r>
    <x v="9"/>
    <n v="3"/>
    <x v="0"/>
  </r>
  <r>
    <x v="4"/>
    <n v="2"/>
    <x v="3"/>
  </r>
  <r>
    <x v="6"/>
    <n v="2"/>
    <x v="2"/>
  </r>
  <r>
    <x v="6"/>
    <n v="2"/>
    <x v="3"/>
  </r>
  <r>
    <x v="8"/>
    <n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E135A-D24D-4AFA-A6C0-A0ADFC999E31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2:J13" firstHeaderRow="1" firstDataRow="2" firstDataCol="1"/>
  <pivotFields count="3">
    <pivotField axis="axisRow" showAll="0" defaultSubtotal="0">
      <items count="10">
        <item x="0"/>
        <item x="3"/>
        <item x="8"/>
        <item x="5"/>
        <item x="7"/>
        <item x="9"/>
        <item x="4"/>
        <item x="1"/>
        <item x="2"/>
        <item x="6"/>
      </items>
    </pivotField>
    <pivotField dataField="1"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Sum of Total Job" fld="1" baseField="0" baseItem="0"/>
  </dataFields>
  <conditionalFormats count="1"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A16A1-D103-45E8-B3EC-257F832ABE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I9" firstHeaderRow="1" firstDataRow="2" firstDataCol="1"/>
  <pivotFields count="3">
    <pivotField axis="axisRow" showAll="0">
      <items count="7">
        <item x="3"/>
        <item x="2"/>
        <item x="4"/>
        <item x="0"/>
        <item x="1"/>
        <item x="5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Việc làm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858EEC1-04B5-4511-A383-FA0AEA75F039}" autoFormatId="16" applyNumberFormats="0" applyBorderFormats="0" applyFontFormats="0" applyPatternFormats="0" applyAlignmentFormats="0" applyWidthHeightFormats="0">
  <queryTableRefresh nextId="4">
    <queryTableFields count="3">
      <queryTableField id="1" name="Lĩnh vực" tableColumnId="1"/>
      <queryTableField id="2" name="Total Job" tableColumnId="2"/>
      <queryTableField id="3" name="role_na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162A7C6-9311-4D37-BF8E-8CB1E31E709D}" autoFormatId="16" applyNumberFormats="0" applyBorderFormats="0" applyFontFormats="0" applyPatternFormats="0" applyAlignmentFormats="0" applyWidthHeightFormats="0">
  <queryTableRefresh nextId="3">
    <queryTableFields count="2">
      <queryTableField id="1" name="Lĩnh vực" tableColumnId="1"/>
      <queryTableField id="2" name="Total Job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85D1A05-AAA9-4340-A5B6-AA7A14E2E602}" autoFormatId="16" applyNumberFormats="0" applyBorderFormats="0" applyFontFormats="0" applyPatternFormats="0" applyAlignmentFormats="0" applyWidthHeightFormats="0">
  <queryTableRefresh nextId="4">
    <queryTableFields count="3">
      <queryTableField id="1" name="job_position" tableColumnId="1"/>
      <queryTableField id="2" name="Việc làm" tableColumnId="2"/>
      <queryTableField id="3" name="Ngành nghề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23E2F2-D622-4F46-A34F-4F03B3ACA457}" name="Domain" displayName="Domain" ref="A1:C38" tableType="queryTable" totalsRowShown="0">
  <autoFilter ref="A1:C38" xr:uid="{2A23E2F2-D622-4F46-A34F-4F03B3ACA457}"/>
  <tableColumns count="3">
    <tableColumn id="1" xr3:uid="{67207303-C7AC-479A-914B-98FDF5C5FD98}" uniqueName="1" name="Lĩnh vực" queryTableFieldId="1" dataDxfId="7"/>
    <tableColumn id="2" xr3:uid="{D05DB6D1-0AA1-4370-B47C-F01D1A60D775}" uniqueName="2" name="Total Job" queryTableFieldId="2"/>
    <tableColumn id="3" xr3:uid="{A15620D1-6FB9-4EA4-8A5C-C11752577412}" uniqueName="3" name="role_name" queryTableFieldId="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1E7E07-F86B-49D7-A605-0862FD81F265}" name="Domain_1" displayName="Domain_1" ref="A44:B54" tableType="queryTable" totalsRowShown="0">
  <autoFilter ref="A44:B54" xr:uid="{411E7E07-F86B-49D7-A605-0862FD81F265}"/>
  <tableColumns count="2">
    <tableColumn id="1" xr3:uid="{DFD1EA6A-96E5-4106-844E-093DB6C713DF}" uniqueName="1" name="Lĩnh vực" queryTableFieldId="1" dataDxfId="5"/>
    <tableColumn id="2" xr3:uid="{A5811D4F-4D96-4EF8-AF07-5C158B6C432C}" uniqueName="2" name="Total Job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E9FE7-0C6E-416F-8B99-FA6A668FE5C9}" name="Nhu_cầu_tuyển_dụng_theo_Cấp_bậc" displayName="Nhu_cầu_tuyển_dụng_theo_Cấp_bậc" ref="A1:C13" tableType="queryTable" totalsRowShown="0">
  <autoFilter ref="A1:C13" xr:uid="{A8FE9FE7-0C6E-416F-8B99-FA6A668FE5C9}"/>
  <tableColumns count="3">
    <tableColumn id="1" xr3:uid="{FA086584-C8C4-458E-AFAC-3BDC8788911E}" uniqueName="1" name="job_position" queryTableFieldId="1" dataDxfId="4"/>
    <tableColumn id="2" xr3:uid="{D3B73A10-7919-4D82-AE0B-061F7D63CCDA}" uniqueName="2" name="Việc làm" queryTableFieldId="2"/>
    <tableColumn id="3" xr3:uid="{6CA5FC48-4393-4324-8022-63D4E4EEE9A6}" uniqueName="3" name="Ngành nghề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A112C-51C8-45FB-B8B5-6ABCF1FDEF2B}" name="Table1" displayName="Table1" ref="A16:C22" totalsRowShown="0">
  <autoFilter ref="A16:C22" xr:uid="{B76A112C-51C8-45FB-B8B5-6ABCF1FDEF2B}"/>
  <sortState xmlns:xlrd2="http://schemas.microsoft.com/office/spreadsheetml/2017/richdata2" ref="A17:C22">
    <sortCondition ref="B16:B22"/>
  </sortState>
  <tableColumns count="3">
    <tableColumn id="1" xr3:uid="{46F3A617-BC40-48DA-88C6-A6DE450F945E}" name="Cấp bậc" dataDxfId="2"/>
    <tableColumn id="2" xr3:uid="{6ECD3C2A-3A1B-4E56-A3A8-54525497C280}" name="AI / Machine Learning"/>
    <tableColumn id="3" xr3:uid="{33DD7919-1224-4E47-8BF8-A015F6C8C257}" name="Data Analyst / B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A49D99-69C6-415C-8286-56855E47C040}" name="Table27" displayName="Table27" ref="L8:M12" totalsRowShown="0">
  <autoFilter ref="L8:M12" xr:uid="{04A49D99-69C6-415C-8286-56855E47C040}"/>
  <sortState xmlns:xlrd2="http://schemas.microsoft.com/office/spreadsheetml/2017/richdata2" ref="L9:M12">
    <sortCondition ref="M8:M12"/>
  </sortState>
  <tableColumns count="2">
    <tableColumn id="1" xr3:uid="{39967D32-C786-4DCC-A8C9-182E12874D51}" name="Column1"/>
    <tableColumn id="2" xr3:uid="{5A95A525-47D0-4E55-982A-C70D3085DCCA}" name="Game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9CE506-A2BC-41C9-B12C-558836CCD2CD}" name="Table278" displayName="Table278" ref="L2:M6" totalsRowShown="0">
  <autoFilter ref="L2:M6" xr:uid="{819CE506-A2BC-41C9-B12C-558836CCD2CD}"/>
  <sortState xmlns:xlrd2="http://schemas.microsoft.com/office/spreadsheetml/2017/richdata2" ref="L3:M6">
    <sortCondition ref="M8:M12"/>
  </sortState>
  <tableColumns count="2">
    <tableColumn id="1" xr3:uid="{0BE488EE-A1B1-45CF-8BE0-015E89AA2CA9}" name="Column1"/>
    <tableColumn id="2" xr3:uid="{5A7F4436-1B09-4134-8139-CD615A3A45D7}" name="Game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EBF-6B39-495A-86CD-C229E426924A}">
  <dimension ref="A1:K54"/>
  <sheetViews>
    <sheetView showGridLines="0" topLeftCell="A22" workbookViewId="0">
      <selection activeCell="H40" sqref="H40"/>
    </sheetView>
  </sheetViews>
  <sheetFormatPr defaultRowHeight="14.4" x14ac:dyDescent="0.3"/>
  <cols>
    <col min="1" max="1" width="22.5546875" bestFit="1" customWidth="1"/>
    <col min="2" max="2" width="10.44140625" bestFit="1" customWidth="1"/>
    <col min="3" max="3" width="18.21875" bestFit="1" customWidth="1"/>
    <col min="6" max="6" width="22.5546875" bestFit="1" customWidth="1"/>
    <col min="7" max="7" width="20.5546875" customWidth="1"/>
    <col min="8" max="8" width="16.21875" customWidth="1"/>
    <col min="9" max="9" width="16.33203125" customWidth="1"/>
    <col min="10" max="10" width="14.5546875" customWidth="1"/>
    <col min="11" max="11" width="10.5546875" bestFit="1" customWidth="1"/>
  </cols>
  <sheetData>
    <row r="1" spans="1:11" x14ac:dyDescent="0.3">
      <c r="A1" t="s">
        <v>16</v>
      </c>
      <c r="B1" t="s">
        <v>17</v>
      </c>
      <c r="C1" t="s">
        <v>18</v>
      </c>
    </row>
    <row r="2" spans="1:11" x14ac:dyDescent="0.3">
      <c r="A2" t="s">
        <v>19</v>
      </c>
      <c r="B2">
        <v>244</v>
      </c>
      <c r="C2" t="s">
        <v>5</v>
      </c>
      <c r="F2" s="1" t="s">
        <v>31</v>
      </c>
      <c r="G2" s="1" t="s">
        <v>11</v>
      </c>
    </row>
    <row r="3" spans="1:11" x14ac:dyDescent="0.3">
      <c r="A3" t="s">
        <v>20</v>
      </c>
      <c r="B3">
        <v>181</v>
      </c>
      <c r="C3" t="s">
        <v>4</v>
      </c>
      <c r="F3" s="1" t="s">
        <v>14</v>
      </c>
      <c r="G3" t="s">
        <v>5</v>
      </c>
      <c r="H3" t="s">
        <v>4</v>
      </c>
      <c r="I3" t="s">
        <v>21</v>
      </c>
      <c r="J3" t="s">
        <v>25</v>
      </c>
      <c r="K3" t="s">
        <v>32</v>
      </c>
    </row>
    <row r="4" spans="1:11" x14ac:dyDescent="0.3">
      <c r="A4" t="s">
        <v>19</v>
      </c>
      <c r="B4">
        <v>164</v>
      </c>
      <c r="C4" t="s">
        <v>21</v>
      </c>
      <c r="F4" s="2" t="s">
        <v>19</v>
      </c>
      <c r="G4">
        <v>244</v>
      </c>
      <c r="H4">
        <v>85</v>
      </c>
      <c r="I4">
        <v>164</v>
      </c>
      <c r="J4">
        <v>20</v>
      </c>
      <c r="K4">
        <f>VLOOKUP($F4,Domain_1[], 2,FALSE)</f>
        <v>683</v>
      </c>
    </row>
    <row r="5" spans="1:11" x14ac:dyDescent="0.3">
      <c r="A5" t="s">
        <v>20</v>
      </c>
      <c r="B5">
        <v>155</v>
      </c>
      <c r="C5" t="s">
        <v>21</v>
      </c>
      <c r="F5" s="2" t="s">
        <v>23</v>
      </c>
      <c r="G5">
        <v>79</v>
      </c>
      <c r="H5">
        <v>42</v>
      </c>
      <c r="I5">
        <v>41</v>
      </c>
      <c r="J5">
        <v>4</v>
      </c>
      <c r="K5">
        <f>VLOOKUP($F5,Domain_1[], 2,FALSE)</f>
        <v>326</v>
      </c>
    </row>
    <row r="6" spans="1:11" x14ac:dyDescent="0.3">
      <c r="A6" t="s">
        <v>20</v>
      </c>
      <c r="B6">
        <v>152</v>
      </c>
      <c r="C6" t="s">
        <v>5</v>
      </c>
      <c r="F6" s="2" t="s">
        <v>29</v>
      </c>
      <c r="G6">
        <v>7</v>
      </c>
      <c r="H6">
        <v>13</v>
      </c>
      <c r="I6">
        <v>4</v>
      </c>
      <c r="J6">
        <v>1</v>
      </c>
      <c r="K6">
        <f>VLOOKUP($F6,Domain_1[], 2,FALSE)</f>
        <v>28</v>
      </c>
    </row>
    <row r="7" spans="1:11" x14ac:dyDescent="0.3">
      <c r="A7" t="s">
        <v>22</v>
      </c>
      <c r="B7">
        <v>102</v>
      </c>
      <c r="C7" t="s">
        <v>4</v>
      </c>
      <c r="F7" s="2" t="s">
        <v>26</v>
      </c>
      <c r="G7">
        <v>14</v>
      </c>
      <c r="H7">
        <v>21</v>
      </c>
      <c r="I7">
        <v>5</v>
      </c>
      <c r="K7">
        <f>VLOOKUP($F7,Domain_1[], 2,FALSE)</f>
        <v>96</v>
      </c>
    </row>
    <row r="8" spans="1:11" x14ac:dyDescent="0.3">
      <c r="A8" t="s">
        <v>19</v>
      </c>
      <c r="B8">
        <v>85</v>
      </c>
      <c r="C8" t="s">
        <v>4</v>
      </c>
      <c r="F8" s="2" t="s">
        <v>28</v>
      </c>
      <c r="G8">
        <v>8</v>
      </c>
      <c r="H8">
        <v>17</v>
      </c>
      <c r="I8">
        <v>9</v>
      </c>
      <c r="K8">
        <f>VLOOKUP($F8,Domain_1[], 2,FALSE)</f>
        <v>58</v>
      </c>
    </row>
    <row r="9" spans="1:11" x14ac:dyDescent="0.3">
      <c r="A9" t="s">
        <v>23</v>
      </c>
      <c r="B9">
        <v>79</v>
      </c>
      <c r="C9" t="s">
        <v>5</v>
      </c>
      <c r="F9" s="2" t="s">
        <v>30</v>
      </c>
      <c r="G9">
        <v>3</v>
      </c>
      <c r="H9">
        <v>13</v>
      </c>
      <c r="I9">
        <v>10</v>
      </c>
      <c r="K9">
        <f>VLOOKUP($F9,Domain_1[], 2,FALSE)</f>
        <v>68</v>
      </c>
    </row>
    <row r="10" spans="1:11" x14ac:dyDescent="0.3">
      <c r="A10" t="s">
        <v>24</v>
      </c>
      <c r="B10">
        <v>77</v>
      </c>
      <c r="C10" t="s">
        <v>4</v>
      </c>
      <c r="F10" s="2" t="s">
        <v>24</v>
      </c>
      <c r="G10">
        <v>49</v>
      </c>
      <c r="H10">
        <v>77</v>
      </c>
      <c r="I10">
        <v>37</v>
      </c>
      <c r="J10">
        <v>2</v>
      </c>
      <c r="K10">
        <f>VLOOKUP($F10,Domain_1[], 2,FALSE)</f>
        <v>316</v>
      </c>
    </row>
    <row r="11" spans="1:11" x14ac:dyDescent="0.3">
      <c r="A11" t="s">
        <v>20</v>
      </c>
      <c r="B11">
        <v>65</v>
      </c>
      <c r="C11" t="s">
        <v>25</v>
      </c>
      <c r="F11" s="2" t="s">
        <v>20</v>
      </c>
      <c r="G11">
        <v>152</v>
      </c>
      <c r="H11">
        <v>181</v>
      </c>
      <c r="I11">
        <v>155</v>
      </c>
      <c r="J11">
        <v>65</v>
      </c>
      <c r="K11">
        <f>VLOOKUP($F11,Domain_1[], 2,FALSE)</f>
        <v>808</v>
      </c>
    </row>
    <row r="12" spans="1:11" x14ac:dyDescent="0.3">
      <c r="A12" t="s">
        <v>24</v>
      </c>
      <c r="B12">
        <v>49</v>
      </c>
      <c r="C12" t="s">
        <v>5</v>
      </c>
      <c r="F12" s="2" t="s">
        <v>22</v>
      </c>
      <c r="G12">
        <v>37</v>
      </c>
      <c r="H12">
        <v>102</v>
      </c>
      <c r="I12">
        <v>35</v>
      </c>
      <c r="J12">
        <v>8</v>
      </c>
      <c r="K12">
        <f>VLOOKUP($F12,Domain_1[], 2,FALSE)</f>
        <v>380</v>
      </c>
    </row>
    <row r="13" spans="1:11" x14ac:dyDescent="0.3">
      <c r="A13" t="s">
        <v>23</v>
      </c>
      <c r="B13">
        <v>42</v>
      </c>
      <c r="C13" t="s">
        <v>4</v>
      </c>
      <c r="F13" s="2" t="s">
        <v>27</v>
      </c>
      <c r="G13">
        <v>10</v>
      </c>
      <c r="H13">
        <v>21</v>
      </c>
      <c r="I13">
        <v>2</v>
      </c>
      <c r="J13">
        <v>2</v>
      </c>
      <c r="K13">
        <f>VLOOKUP($F13,Domain_1[], 2,FALSE)</f>
        <v>83</v>
      </c>
    </row>
    <row r="14" spans="1:11" x14ac:dyDescent="0.3">
      <c r="A14" t="s">
        <v>23</v>
      </c>
      <c r="B14">
        <v>41</v>
      </c>
      <c r="C14" t="s">
        <v>21</v>
      </c>
    </row>
    <row r="15" spans="1:11" x14ac:dyDescent="0.3">
      <c r="A15" t="s">
        <v>24</v>
      </c>
      <c r="B15">
        <v>37</v>
      </c>
      <c r="C15" t="s">
        <v>21</v>
      </c>
    </row>
    <row r="16" spans="1:11" x14ac:dyDescent="0.3">
      <c r="A16" t="s">
        <v>22</v>
      </c>
      <c r="B16">
        <v>37</v>
      </c>
      <c r="C16" t="s">
        <v>5</v>
      </c>
    </row>
    <row r="17" spans="1:11" x14ac:dyDescent="0.3">
      <c r="A17" t="s">
        <v>22</v>
      </c>
      <c r="B17">
        <v>35</v>
      </c>
      <c r="C17" t="s">
        <v>21</v>
      </c>
      <c r="F17" t="s">
        <v>14</v>
      </c>
      <c r="G17" t="s">
        <v>5</v>
      </c>
      <c r="H17" t="s">
        <v>4</v>
      </c>
      <c r="I17" t="s">
        <v>21</v>
      </c>
      <c r="J17" t="s">
        <v>25</v>
      </c>
      <c r="K17" t="s">
        <v>32</v>
      </c>
    </row>
    <row r="18" spans="1:11" x14ac:dyDescent="0.3">
      <c r="A18" t="s">
        <v>26</v>
      </c>
      <c r="B18">
        <v>21</v>
      </c>
      <c r="C18" t="s">
        <v>4</v>
      </c>
      <c r="F18" s="2" t="s">
        <v>20</v>
      </c>
      <c r="G18">
        <v>152</v>
      </c>
      <c r="H18">
        <v>181</v>
      </c>
      <c r="I18">
        <v>155</v>
      </c>
      <c r="J18">
        <v>65</v>
      </c>
      <c r="K18">
        <f>VLOOKUP($F18,Domain_1[], 2,FALSE)</f>
        <v>808</v>
      </c>
    </row>
    <row r="19" spans="1:11" x14ac:dyDescent="0.3">
      <c r="A19" t="s">
        <v>27</v>
      </c>
      <c r="B19">
        <v>21</v>
      </c>
      <c r="C19" t="s">
        <v>4</v>
      </c>
      <c r="F19" s="2" t="s">
        <v>22</v>
      </c>
      <c r="G19">
        <v>37</v>
      </c>
      <c r="H19">
        <v>102</v>
      </c>
      <c r="I19">
        <v>35</v>
      </c>
      <c r="J19">
        <v>8</v>
      </c>
      <c r="K19">
        <f>VLOOKUP($F19,Domain_1[], 2,FALSE)</f>
        <v>380</v>
      </c>
    </row>
    <row r="20" spans="1:11" x14ac:dyDescent="0.3">
      <c r="A20" t="s">
        <v>19</v>
      </c>
      <c r="B20">
        <v>20</v>
      </c>
      <c r="C20" t="s">
        <v>25</v>
      </c>
      <c r="F20" s="2" t="s">
        <v>19</v>
      </c>
      <c r="G20">
        <v>244</v>
      </c>
      <c r="H20">
        <v>85</v>
      </c>
      <c r="I20">
        <v>164</v>
      </c>
      <c r="J20">
        <v>20</v>
      </c>
      <c r="K20">
        <f>VLOOKUP($F20,Domain_1[], 2,FALSE)</f>
        <v>683</v>
      </c>
    </row>
    <row r="21" spans="1:11" x14ac:dyDescent="0.3">
      <c r="A21" t="s">
        <v>28</v>
      </c>
      <c r="B21">
        <v>17</v>
      </c>
      <c r="C21" t="s">
        <v>4</v>
      </c>
      <c r="F21" s="2" t="s">
        <v>24</v>
      </c>
      <c r="G21">
        <v>49</v>
      </c>
      <c r="H21">
        <v>77</v>
      </c>
      <c r="I21">
        <v>37</v>
      </c>
      <c r="J21">
        <v>2</v>
      </c>
      <c r="K21">
        <f>VLOOKUP($F21,Domain_1[], 2,FALSE)</f>
        <v>316</v>
      </c>
    </row>
    <row r="22" spans="1:11" x14ac:dyDescent="0.3">
      <c r="A22" t="s">
        <v>26</v>
      </c>
      <c r="B22">
        <v>14</v>
      </c>
      <c r="C22" t="s">
        <v>5</v>
      </c>
      <c r="F22" s="2" t="s">
        <v>23</v>
      </c>
      <c r="G22">
        <v>79</v>
      </c>
      <c r="H22">
        <v>42</v>
      </c>
      <c r="I22">
        <v>41</v>
      </c>
      <c r="J22">
        <v>4</v>
      </c>
      <c r="K22">
        <f>VLOOKUP($F22,Domain_1[], 2,FALSE)</f>
        <v>326</v>
      </c>
    </row>
    <row r="23" spans="1:11" x14ac:dyDescent="0.3">
      <c r="A23" t="s">
        <v>29</v>
      </c>
      <c r="B23">
        <v>13</v>
      </c>
      <c r="C23" t="s">
        <v>4</v>
      </c>
      <c r="F23" s="2" t="s">
        <v>26</v>
      </c>
      <c r="G23">
        <v>14</v>
      </c>
      <c r="H23">
        <v>21</v>
      </c>
      <c r="I23">
        <v>5</v>
      </c>
      <c r="K23">
        <f>VLOOKUP($F23,Domain_1[], 2,FALSE)</f>
        <v>96</v>
      </c>
    </row>
    <row r="24" spans="1:11" x14ac:dyDescent="0.3">
      <c r="A24" t="s">
        <v>30</v>
      </c>
      <c r="B24">
        <v>13</v>
      </c>
      <c r="C24" t="s">
        <v>4</v>
      </c>
      <c r="F24" s="2" t="s">
        <v>27</v>
      </c>
      <c r="G24">
        <v>10</v>
      </c>
      <c r="H24">
        <v>21</v>
      </c>
      <c r="I24">
        <v>2</v>
      </c>
      <c r="J24">
        <v>2</v>
      </c>
      <c r="K24">
        <f>VLOOKUP($F24,Domain_1[], 2,FALSE)</f>
        <v>83</v>
      </c>
    </row>
    <row r="25" spans="1:11" x14ac:dyDescent="0.3">
      <c r="A25" t="s">
        <v>30</v>
      </c>
      <c r="B25">
        <v>10</v>
      </c>
      <c r="C25" t="s">
        <v>21</v>
      </c>
      <c r="F25" s="2" t="s">
        <v>28</v>
      </c>
      <c r="G25">
        <v>8</v>
      </c>
      <c r="H25">
        <v>17</v>
      </c>
      <c r="I25">
        <v>9</v>
      </c>
      <c r="K25">
        <f>VLOOKUP($F25,Domain_1[], 2,FALSE)</f>
        <v>58</v>
      </c>
    </row>
    <row r="26" spans="1:11" x14ac:dyDescent="0.3">
      <c r="A26" t="s">
        <v>27</v>
      </c>
      <c r="B26">
        <v>10</v>
      </c>
      <c r="C26" t="s">
        <v>5</v>
      </c>
      <c r="F26" s="2" t="s">
        <v>29</v>
      </c>
      <c r="G26">
        <v>7</v>
      </c>
      <c r="H26">
        <v>13</v>
      </c>
      <c r="I26">
        <v>4</v>
      </c>
      <c r="J26">
        <v>1</v>
      </c>
      <c r="K26">
        <f>VLOOKUP($F26,Domain_1[], 2,FALSE)</f>
        <v>28</v>
      </c>
    </row>
    <row r="27" spans="1:11" x14ac:dyDescent="0.3">
      <c r="A27" t="s">
        <v>28</v>
      </c>
      <c r="B27">
        <v>9</v>
      </c>
      <c r="C27" t="s">
        <v>21</v>
      </c>
      <c r="F27" s="2" t="s">
        <v>30</v>
      </c>
      <c r="G27">
        <v>3</v>
      </c>
      <c r="H27">
        <v>13</v>
      </c>
      <c r="I27">
        <v>10</v>
      </c>
      <c r="K27">
        <f>VLOOKUP($F27,Domain_1[], 2,FALSE)</f>
        <v>68</v>
      </c>
    </row>
    <row r="28" spans="1:11" x14ac:dyDescent="0.3">
      <c r="A28" t="s">
        <v>28</v>
      </c>
      <c r="B28">
        <v>8</v>
      </c>
      <c r="C28" t="s">
        <v>5</v>
      </c>
    </row>
    <row r="29" spans="1:11" x14ac:dyDescent="0.3">
      <c r="A29" t="s">
        <v>22</v>
      </c>
      <c r="B29">
        <v>8</v>
      </c>
      <c r="C29" t="s">
        <v>25</v>
      </c>
    </row>
    <row r="30" spans="1:11" x14ac:dyDescent="0.3">
      <c r="A30" t="s">
        <v>29</v>
      </c>
      <c r="B30">
        <v>7</v>
      </c>
      <c r="C30" t="s">
        <v>5</v>
      </c>
    </row>
    <row r="31" spans="1:11" x14ac:dyDescent="0.3">
      <c r="A31" t="s">
        <v>26</v>
      </c>
      <c r="B31">
        <v>5</v>
      </c>
      <c r="C31" t="s">
        <v>21</v>
      </c>
      <c r="F31" s="5" t="s">
        <v>16</v>
      </c>
      <c r="G31" s="6" t="s">
        <v>5</v>
      </c>
      <c r="H31" s="6" t="s">
        <v>4</v>
      </c>
      <c r="I31" s="6" t="s">
        <v>21</v>
      </c>
      <c r="J31" s="6" t="s">
        <v>25</v>
      </c>
    </row>
    <row r="32" spans="1:11" x14ac:dyDescent="0.3">
      <c r="A32" t="s">
        <v>23</v>
      </c>
      <c r="B32">
        <v>4</v>
      </c>
      <c r="C32" t="s">
        <v>25</v>
      </c>
      <c r="F32" s="2" t="s">
        <v>20</v>
      </c>
      <c r="G32" s="3">
        <f t="shared" ref="G32:J32" si="0">G18/$K18</f>
        <v>0.18811881188118812</v>
      </c>
      <c r="H32" s="3">
        <f t="shared" si="0"/>
        <v>0.22400990099009901</v>
      </c>
      <c r="I32" s="3">
        <f t="shared" si="0"/>
        <v>0.19183168316831684</v>
      </c>
      <c r="J32" s="3">
        <f t="shared" si="0"/>
        <v>8.0445544554455448E-2</v>
      </c>
      <c r="K32" s="4"/>
    </row>
    <row r="33" spans="1:11" x14ac:dyDescent="0.3">
      <c r="A33" t="s">
        <v>29</v>
      </c>
      <c r="B33">
        <v>4</v>
      </c>
      <c r="C33" t="s">
        <v>21</v>
      </c>
      <c r="F33" s="2" t="s">
        <v>22</v>
      </c>
      <c r="G33" s="3">
        <f t="shared" ref="G33:J33" si="1">G19/$K19</f>
        <v>9.7368421052631576E-2</v>
      </c>
      <c r="H33" s="3">
        <f t="shared" si="1"/>
        <v>0.26842105263157895</v>
      </c>
      <c r="I33" s="3">
        <f t="shared" si="1"/>
        <v>9.2105263157894732E-2</v>
      </c>
      <c r="J33" s="3">
        <f t="shared" si="1"/>
        <v>2.1052631578947368E-2</v>
      </c>
      <c r="K33" s="4"/>
    </row>
    <row r="34" spans="1:11" x14ac:dyDescent="0.3">
      <c r="A34" t="s">
        <v>30</v>
      </c>
      <c r="B34">
        <v>3</v>
      </c>
      <c r="C34" t="s">
        <v>5</v>
      </c>
      <c r="F34" s="2" t="s">
        <v>19</v>
      </c>
      <c r="G34" s="3">
        <f t="shared" ref="G34:J34" si="2">G20/$K20</f>
        <v>0.35724743777452417</v>
      </c>
      <c r="H34" s="3">
        <f t="shared" si="2"/>
        <v>0.12445095168374817</v>
      </c>
      <c r="I34" s="3">
        <f t="shared" si="2"/>
        <v>0.24011713030746706</v>
      </c>
      <c r="J34" s="3">
        <f t="shared" si="2"/>
        <v>2.9282576866764276E-2</v>
      </c>
      <c r="K34" s="4"/>
    </row>
    <row r="35" spans="1:11" x14ac:dyDescent="0.3">
      <c r="A35" t="s">
        <v>24</v>
      </c>
      <c r="B35">
        <v>2</v>
      </c>
      <c r="C35" t="s">
        <v>25</v>
      </c>
      <c r="F35" s="2" t="s">
        <v>24</v>
      </c>
      <c r="G35" s="3">
        <f t="shared" ref="G35:J35" si="3">G21/$K21</f>
        <v>0.1550632911392405</v>
      </c>
      <c r="H35" s="3">
        <f t="shared" si="3"/>
        <v>0.24367088607594936</v>
      </c>
      <c r="I35" s="3">
        <f t="shared" si="3"/>
        <v>0.11708860759493671</v>
      </c>
      <c r="J35" s="3">
        <f t="shared" si="3"/>
        <v>6.3291139240506328E-3</v>
      </c>
      <c r="K35" s="4"/>
    </row>
    <row r="36" spans="1:11" x14ac:dyDescent="0.3">
      <c r="A36" t="s">
        <v>27</v>
      </c>
      <c r="B36">
        <v>2</v>
      </c>
      <c r="C36" t="s">
        <v>21</v>
      </c>
      <c r="F36" s="2" t="s">
        <v>23</v>
      </c>
      <c r="G36" s="3">
        <f t="shared" ref="G36:J36" si="4">G22/$K22</f>
        <v>0.24233128834355827</v>
      </c>
      <c r="H36" s="3">
        <f t="shared" si="4"/>
        <v>0.12883435582822086</v>
      </c>
      <c r="I36" s="3">
        <f t="shared" si="4"/>
        <v>0.12576687116564417</v>
      </c>
      <c r="J36" s="3">
        <f t="shared" si="4"/>
        <v>1.2269938650306749E-2</v>
      </c>
      <c r="K36" s="4"/>
    </row>
    <row r="37" spans="1:11" x14ac:dyDescent="0.3">
      <c r="A37" t="s">
        <v>27</v>
      </c>
      <c r="B37">
        <v>2</v>
      </c>
      <c r="C37" t="s">
        <v>25</v>
      </c>
      <c r="F37" s="2" t="s">
        <v>26</v>
      </c>
      <c r="G37" s="3">
        <f t="shared" ref="G37:J37" si="5">G23/$K23</f>
        <v>0.14583333333333334</v>
      </c>
      <c r="H37" s="3">
        <f t="shared" si="5"/>
        <v>0.21875</v>
      </c>
      <c r="I37" s="3">
        <f t="shared" si="5"/>
        <v>5.2083333333333336E-2</v>
      </c>
      <c r="J37" s="3">
        <f t="shared" si="5"/>
        <v>0</v>
      </c>
      <c r="K37" s="4"/>
    </row>
    <row r="38" spans="1:11" x14ac:dyDescent="0.3">
      <c r="A38" t="s">
        <v>29</v>
      </c>
      <c r="B38">
        <v>1</v>
      </c>
      <c r="C38" t="s">
        <v>25</v>
      </c>
      <c r="F38" s="2" t="s">
        <v>27</v>
      </c>
      <c r="G38" s="3">
        <f t="shared" ref="G38:J38" si="6">G24/$K24</f>
        <v>0.12048192771084337</v>
      </c>
      <c r="H38" s="3">
        <f t="shared" si="6"/>
        <v>0.25301204819277107</v>
      </c>
      <c r="I38" s="3">
        <f t="shared" si="6"/>
        <v>2.4096385542168676E-2</v>
      </c>
      <c r="J38" s="3">
        <f t="shared" si="6"/>
        <v>2.4096385542168676E-2</v>
      </c>
      <c r="K38" s="4"/>
    </row>
    <row r="39" spans="1:11" x14ac:dyDescent="0.3">
      <c r="F39" s="2" t="s">
        <v>28</v>
      </c>
      <c r="G39" s="3">
        <f t="shared" ref="G39:J39" si="7">G25/$K25</f>
        <v>0.13793103448275862</v>
      </c>
      <c r="H39" s="3">
        <f t="shared" si="7"/>
        <v>0.29310344827586204</v>
      </c>
      <c r="I39" s="3">
        <f t="shared" si="7"/>
        <v>0.15517241379310345</v>
      </c>
      <c r="J39" s="3">
        <f t="shared" si="7"/>
        <v>0</v>
      </c>
      <c r="K39" s="4"/>
    </row>
    <row r="40" spans="1:11" x14ac:dyDescent="0.3">
      <c r="F40" s="2" t="s">
        <v>29</v>
      </c>
      <c r="G40" s="3">
        <f t="shared" ref="G40:J40" si="8">G26/$K26</f>
        <v>0.25</v>
      </c>
      <c r="H40" s="3">
        <f t="shared" si="8"/>
        <v>0.4642857142857143</v>
      </c>
      <c r="I40" s="3">
        <f t="shared" si="8"/>
        <v>0.14285714285714285</v>
      </c>
      <c r="J40" s="3">
        <f t="shared" si="8"/>
        <v>3.5714285714285712E-2</v>
      </c>
      <c r="K40" s="4"/>
    </row>
    <row r="41" spans="1:11" x14ac:dyDescent="0.3">
      <c r="F41" s="2" t="s">
        <v>30</v>
      </c>
      <c r="G41" s="3">
        <f t="shared" ref="G41:J41" si="9">G27/$K27</f>
        <v>4.4117647058823532E-2</v>
      </c>
      <c r="H41" s="3">
        <f t="shared" si="9"/>
        <v>0.19117647058823528</v>
      </c>
      <c r="I41" s="3">
        <f t="shared" si="9"/>
        <v>0.14705882352941177</v>
      </c>
      <c r="J41" s="3">
        <f t="shared" si="9"/>
        <v>0</v>
      </c>
      <c r="K41" s="4"/>
    </row>
    <row r="44" spans="1:11" x14ac:dyDescent="0.3">
      <c r="A44" t="s">
        <v>16</v>
      </c>
      <c r="B44" t="s">
        <v>17</v>
      </c>
    </row>
    <row r="45" spans="1:11" x14ac:dyDescent="0.3">
      <c r="A45" t="s">
        <v>20</v>
      </c>
      <c r="B45">
        <v>808</v>
      </c>
    </row>
    <row r="46" spans="1:11" x14ac:dyDescent="0.3">
      <c r="A46" t="s">
        <v>19</v>
      </c>
      <c r="B46">
        <v>683</v>
      </c>
    </row>
    <row r="47" spans="1:11" x14ac:dyDescent="0.3">
      <c r="A47" t="s">
        <v>22</v>
      </c>
      <c r="B47">
        <v>380</v>
      </c>
    </row>
    <row r="48" spans="1:11" x14ac:dyDescent="0.3">
      <c r="A48" t="s">
        <v>23</v>
      </c>
      <c r="B48">
        <v>326</v>
      </c>
    </row>
    <row r="49" spans="1:2" x14ac:dyDescent="0.3">
      <c r="A49" t="s">
        <v>24</v>
      </c>
      <c r="B49">
        <v>316</v>
      </c>
    </row>
    <row r="50" spans="1:2" x14ac:dyDescent="0.3">
      <c r="A50" t="s">
        <v>26</v>
      </c>
      <c r="B50">
        <v>96</v>
      </c>
    </row>
    <row r="51" spans="1:2" x14ac:dyDescent="0.3">
      <c r="A51" t="s">
        <v>27</v>
      </c>
      <c r="B51">
        <v>83</v>
      </c>
    </row>
    <row r="52" spans="1:2" x14ac:dyDescent="0.3">
      <c r="A52" t="s">
        <v>30</v>
      </c>
      <c r="B52">
        <v>68</v>
      </c>
    </row>
    <row r="53" spans="1:2" x14ac:dyDescent="0.3">
      <c r="A53" t="s">
        <v>28</v>
      </c>
      <c r="B53">
        <v>58</v>
      </c>
    </row>
    <row r="54" spans="1:2" x14ac:dyDescent="0.3">
      <c r="A54" t="s">
        <v>29</v>
      </c>
      <c r="B54">
        <v>28</v>
      </c>
    </row>
  </sheetData>
  <sortState xmlns:xlrd2="http://schemas.microsoft.com/office/spreadsheetml/2017/richdata2" ref="F18:K27">
    <sortCondition descending="1" ref="H18:H27"/>
  </sortState>
  <conditionalFormatting pivot="1" sqref="G4:J13">
    <cfRule type="colorScale" priority="7">
      <colorScale>
        <cfvo type="min"/>
        <cfvo type="max"/>
        <color rgb="FFFCFCFF"/>
        <color rgb="FF63BE7B"/>
      </colorScale>
    </cfRule>
  </conditionalFormatting>
  <conditionalFormatting sqref="G32:J41">
    <cfRule type="colorScale" priority="1">
      <colorScale>
        <cfvo type="min"/>
        <cfvo type="max"/>
        <color theme="0"/>
        <color theme="3" tint="0.249977111117893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G18:J27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7454-565B-471C-BF84-C485E1559C03}">
  <dimension ref="A1:I22"/>
  <sheetViews>
    <sheetView showGridLines="0" workbookViewId="0">
      <selection activeCell="L22" sqref="L22"/>
    </sheetView>
  </sheetViews>
  <sheetFormatPr defaultRowHeight="14.4" x14ac:dyDescent="0.3"/>
  <cols>
    <col min="1" max="1" width="15.5546875" bestFit="1" customWidth="1"/>
    <col min="2" max="2" width="20.21875" customWidth="1"/>
    <col min="3" max="3" width="18.21875" bestFit="1" customWidth="1"/>
    <col min="6" max="6" width="15.5546875" bestFit="1" customWidth="1"/>
    <col min="7" max="7" width="18.5546875" bestFit="1" customWidth="1"/>
    <col min="8" max="8" width="14.44140625" bestFit="1" customWidth="1"/>
    <col min="9" max="9" width="1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F1" s="1" t="s">
        <v>13</v>
      </c>
      <c r="G1" s="1" t="s">
        <v>11</v>
      </c>
    </row>
    <row r="2" spans="1:9" x14ac:dyDescent="0.3">
      <c r="A2" t="s">
        <v>3</v>
      </c>
      <c r="B2">
        <v>475</v>
      </c>
      <c r="C2" t="s">
        <v>4</v>
      </c>
      <c r="F2" s="1" t="s">
        <v>14</v>
      </c>
      <c r="G2" t="s">
        <v>5</v>
      </c>
      <c r="H2" t="s">
        <v>4</v>
      </c>
      <c r="I2" t="s">
        <v>12</v>
      </c>
    </row>
    <row r="3" spans="1:9" x14ac:dyDescent="0.3">
      <c r="A3" t="s">
        <v>3</v>
      </c>
      <c r="B3">
        <v>327</v>
      </c>
      <c r="C3" t="s">
        <v>5</v>
      </c>
      <c r="F3" s="2" t="s">
        <v>8</v>
      </c>
      <c r="G3">
        <v>48</v>
      </c>
      <c r="H3">
        <v>49</v>
      </c>
      <c r="I3">
        <v>97</v>
      </c>
    </row>
    <row r="4" spans="1:9" x14ac:dyDescent="0.3">
      <c r="A4" t="s">
        <v>6</v>
      </c>
      <c r="B4">
        <v>166</v>
      </c>
      <c r="C4" t="s">
        <v>5</v>
      </c>
      <c r="F4" s="2" t="s">
        <v>7</v>
      </c>
      <c r="G4">
        <v>147</v>
      </c>
      <c r="H4">
        <v>39</v>
      </c>
      <c r="I4">
        <v>186</v>
      </c>
    </row>
    <row r="5" spans="1:9" x14ac:dyDescent="0.3">
      <c r="A5" t="s">
        <v>7</v>
      </c>
      <c r="B5">
        <v>147</v>
      </c>
      <c r="C5" t="s">
        <v>5</v>
      </c>
      <c r="F5" s="2" t="s">
        <v>9</v>
      </c>
      <c r="G5">
        <v>25</v>
      </c>
      <c r="H5">
        <v>18</v>
      </c>
      <c r="I5">
        <v>43</v>
      </c>
    </row>
    <row r="6" spans="1:9" x14ac:dyDescent="0.3">
      <c r="A6" t="s">
        <v>6</v>
      </c>
      <c r="B6">
        <v>72</v>
      </c>
      <c r="C6" t="s">
        <v>4</v>
      </c>
      <c r="F6" s="2" t="s">
        <v>3</v>
      </c>
      <c r="G6">
        <v>327</v>
      </c>
      <c r="H6">
        <v>475</v>
      </c>
      <c r="I6">
        <v>802</v>
      </c>
    </row>
    <row r="7" spans="1:9" x14ac:dyDescent="0.3">
      <c r="A7" t="s">
        <v>8</v>
      </c>
      <c r="B7">
        <v>49</v>
      </c>
      <c r="C7" t="s">
        <v>4</v>
      </c>
      <c r="F7" s="2" t="s">
        <v>6</v>
      </c>
      <c r="G7">
        <v>166</v>
      </c>
      <c r="H7">
        <v>72</v>
      </c>
      <c r="I7">
        <v>238</v>
      </c>
    </row>
    <row r="8" spans="1:9" x14ac:dyDescent="0.3">
      <c r="A8" t="s">
        <v>8</v>
      </c>
      <c r="B8">
        <v>48</v>
      </c>
      <c r="C8" t="s">
        <v>5</v>
      </c>
      <c r="F8" s="2" t="s">
        <v>10</v>
      </c>
      <c r="G8">
        <v>15</v>
      </c>
      <c r="H8">
        <v>23</v>
      </c>
      <c r="I8">
        <v>38</v>
      </c>
    </row>
    <row r="9" spans="1:9" x14ac:dyDescent="0.3">
      <c r="A9" t="s">
        <v>7</v>
      </c>
      <c r="B9">
        <v>39</v>
      </c>
      <c r="C9" t="s">
        <v>4</v>
      </c>
      <c r="F9" s="2" t="s">
        <v>12</v>
      </c>
      <c r="G9">
        <v>728</v>
      </c>
      <c r="H9">
        <v>676</v>
      </c>
      <c r="I9">
        <v>1404</v>
      </c>
    </row>
    <row r="10" spans="1:9" x14ac:dyDescent="0.3">
      <c r="A10" t="s">
        <v>9</v>
      </c>
      <c r="B10">
        <v>25</v>
      </c>
      <c r="C10" t="s">
        <v>5</v>
      </c>
    </row>
    <row r="11" spans="1:9" x14ac:dyDescent="0.3">
      <c r="A11" t="s">
        <v>10</v>
      </c>
      <c r="B11">
        <v>23</v>
      </c>
      <c r="C11" t="s">
        <v>4</v>
      </c>
    </row>
    <row r="12" spans="1:9" x14ac:dyDescent="0.3">
      <c r="A12" t="s">
        <v>9</v>
      </c>
      <c r="B12">
        <v>18</v>
      </c>
      <c r="C12" t="s">
        <v>4</v>
      </c>
    </row>
    <row r="13" spans="1:9" x14ac:dyDescent="0.3">
      <c r="A13" t="s">
        <v>10</v>
      </c>
      <c r="B13">
        <v>15</v>
      </c>
      <c r="C13" t="s">
        <v>5</v>
      </c>
    </row>
    <row r="16" spans="1:9" x14ac:dyDescent="0.3">
      <c r="A16" t="s">
        <v>15</v>
      </c>
      <c r="B16" t="s">
        <v>5</v>
      </c>
      <c r="C16" t="s">
        <v>4</v>
      </c>
    </row>
    <row r="17" spans="1:3" x14ac:dyDescent="0.3">
      <c r="A17" s="2" t="s">
        <v>10</v>
      </c>
      <c r="B17">
        <v>15</v>
      </c>
      <c r="C17">
        <v>23</v>
      </c>
    </row>
    <row r="18" spans="1:3" x14ac:dyDescent="0.3">
      <c r="A18" s="2" t="s">
        <v>9</v>
      </c>
      <c r="B18">
        <v>25</v>
      </c>
      <c r="C18">
        <v>18</v>
      </c>
    </row>
    <row r="19" spans="1:3" x14ac:dyDescent="0.3">
      <c r="A19" s="2" t="s">
        <v>8</v>
      </c>
      <c r="B19">
        <v>48</v>
      </c>
      <c r="C19">
        <v>49</v>
      </c>
    </row>
    <row r="20" spans="1:3" x14ac:dyDescent="0.3">
      <c r="A20" s="2" t="s">
        <v>7</v>
      </c>
      <c r="B20">
        <v>147</v>
      </c>
      <c r="C20">
        <v>39</v>
      </c>
    </row>
    <row r="21" spans="1:3" x14ac:dyDescent="0.3">
      <c r="A21" s="2" t="s">
        <v>6</v>
      </c>
      <c r="B21">
        <v>166</v>
      </c>
      <c r="C21">
        <v>72</v>
      </c>
    </row>
    <row r="22" spans="1:3" x14ac:dyDescent="0.3">
      <c r="A22" s="2" t="s">
        <v>3</v>
      </c>
      <c r="B22">
        <v>327</v>
      </c>
      <c r="C22">
        <v>475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EBCD-0317-40D7-B96A-B132841254AE}">
  <dimension ref="B1:M40"/>
  <sheetViews>
    <sheetView showGridLines="0" tabSelected="1" topLeftCell="A20" zoomScaleNormal="100" workbookViewId="0">
      <selection activeCell="L32" sqref="L32"/>
    </sheetView>
  </sheetViews>
  <sheetFormatPr defaultRowHeight="14.4" x14ac:dyDescent="0.3"/>
  <cols>
    <col min="2" max="2" width="13.21875" customWidth="1"/>
    <col min="3" max="3" width="25.109375" customWidth="1"/>
    <col min="4" max="4" width="18.21875" bestFit="1" customWidth="1"/>
    <col min="5" max="7" width="13.77734375" customWidth="1"/>
    <col min="9" max="9" width="20.44140625" customWidth="1"/>
    <col min="10" max="10" width="18.6640625" customWidth="1"/>
    <col min="12" max="12" width="18.21875" bestFit="1" customWidth="1"/>
    <col min="13" max="13" width="20" customWidth="1"/>
  </cols>
  <sheetData>
    <row r="1" spans="2:13" ht="49.8" customHeight="1" x14ac:dyDescent="0.3">
      <c r="B1" s="9" t="s">
        <v>33</v>
      </c>
    </row>
    <row r="2" spans="2:13" x14ac:dyDescent="0.3">
      <c r="C2" t="s">
        <v>16</v>
      </c>
      <c r="D2" s="7" t="s">
        <v>5</v>
      </c>
      <c r="E2" s="7" t="s">
        <v>4</v>
      </c>
      <c r="F2" s="7" t="s">
        <v>21</v>
      </c>
      <c r="G2" s="7" t="s">
        <v>25</v>
      </c>
      <c r="I2" t="str" cm="1">
        <f t="array" ref="I2:J6">TRANSPOSE(C2:G3)</f>
        <v>Lĩnh vực</v>
      </c>
      <c r="J2" t="str">
        <v>Tài chính - Ngân hàng</v>
      </c>
      <c r="L2" t="s">
        <v>35</v>
      </c>
      <c r="M2" s="12" t="s">
        <v>29</v>
      </c>
    </row>
    <row r="3" spans="2:13" ht="25.8" customHeight="1" x14ac:dyDescent="0.3">
      <c r="B3" s="17" t="s">
        <v>34</v>
      </c>
      <c r="C3" s="10" t="s">
        <v>20</v>
      </c>
      <c r="D3" s="8">
        <v>0.18811881188118812</v>
      </c>
      <c r="E3" s="8">
        <v>0.22400990099009901</v>
      </c>
      <c r="F3" s="8">
        <v>0.19183168316831684</v>
      </c>
      <c r="G3" s="8">
        <v>8.0445544554455448E-2</v>
      </c>
      <c r="I3" t="str">
        <v>AI / Machine Learning</v>
      </c>
      <c r="J3" s="3">
        <v>0.18811881188118812</v>
      </c>
      <c r="L3" t="s">
        <v>25</v>
      </c>
      <c r="M3" s="3">
        <v>3.5714285714285712E-2</v>
      </c>
    </row>
    <row r="4" spans="2:13" ht="32.4" customHeight="1" x14ac:dyDescent="0.3">
      <c r="B4" s="17"/>
      <c r="C4" s="12" t="s">
        <v>19</v>
      </c>
      <c r="D4" s="13">
        <v>0.35724743777452417</v>
      </c>
      <c r="E4" s="14">
        <v>0.12445095168374817</v>
      </c>
      <c r="F4" s="14">
        <v>0.24011713030746706</v>
      </c>
      <c r="G4" s="14">
        <v>2.9282576866764276E-2</v>
      </c>
      <c r="I4" t="str">
        <v>Data Analyst / BI</v>
      </c>
      <c r="J4" s="3">
        <v>0.22400990099009901</v>
      </c>
      <c r="L4" t="s">
        <v>21</v>
      </c>
      <c r="M4" s="3">
        <v>0.14285714285714285</v>
      </c>
    </row>
    <row r="5" spans="2:13" ht="32.4" customHeight="1" x14ac:dyDescent="0.3">
      <c r="B5" s="17"/>
      <c r="C5" s="12" t="s">
        <v>22</v>
      </c>
      <c r="D5" s="14">
        <v>9.7368421052631576E-2</v>
      </c>
      <c r="E5" s="14">
        <v>0.26842105263157895</v>
      </c>
      <c r="F5" s="14">
        <v>9.2105263157894732E-2</v>
      </c>
      <c r="G5" s="14">
        <v>2.1052631578947368E-2</v>
      </c>
      <c r="I5" t="str">
        <v>Data Engineer</v>
      </c>
      <c r="J5" s="3">
        <v>0.19183168316831684</v>
      </c>
      <c r="L5" t="s">
        <v>5</v>
      </c>
      <c r="M5" s="3">
        <v>0.25</v>
      </c>
    </row>
    <row r="6" spans="2:13" ht="32.4" customHeight="1" x14ac:dyDescent="0.3">
      <c r="B6" s="17"/>
      <c r="C6" s="12" t="s">
        <v>24</v>
      </c>
      <c r="D6" s="14">
        <v>0.1550632911392405</v>
      </c>
      <c r="E6" s="14">
        <v>0.24367088607594936</v>
      </c>
      <c r="F6" s="14">
        <v>0.11708860759493671</v>
      </c>
      <c r="G6" s="14">
        <v>6.3291139240506328E-3</v>
      </c>
      <c r="I6" t="str">
        <v>Data Science</v>
      </c>
      <c r="J6" s="3">
        <v>8.0445544554455448E-2</v>
      </c>
      <c r="L6" t="s">
        <v>4</v>
      </c>
      <c r="M6" s="3">
        <v>0.4642857142857143</v>
      </c>
    </row>
    <row r="7" spans="2:13" ht="32.4" customHeight="1" x14ac:dyDescent="0.3">
      <c r="B7" s="17"/>
      <c r="C7" s="12" t="s">
        <v>23</v>
      </c>
      <c r="D7" s="14">
        <v>0.24233128834355827</v>
      </c>
      <c r="E7" s="14">
        <v>0.12883435582822086</v>
      </c>
      <c r="F7" s="14">
        <v>0.12576687116564417</v>
      </c>
      <c r="G7" s="14">
        <v>1.2269938650306749E-2</v>
      </c>
    </row>
    <row r="8" spans="2:13" ht="32.4" customHeight="1" x14ac:dyDescent="0.3">
      <c r="C8" s="15" t="s">
        <v>26</v>
      </c>
      <c r="D8" s="14">
        <v>0.14583333333333334</v>
      </c>
      <c r="E8" s="14">
        <v>0.21875</v>
      </c>
      <c r="F8" s="14">
        <v>5.2083333333333336E-2</v>
      </c>
      <c r="G8" s="14">
        <v>0</v>
      </c>
      <c r="J8" s="12" t="s">
        <v>19</v>
      </c>
      <c r="L8" t="s">
        <v>35</v>
      </c>
      <c r="M8" s="12" t="s">
        <v>29</v>
      </c>
    </row>
    <row r="9" spans="2:13" ht="32.4" customHeight="1" x14ac:dyDescent="0.3">
      <c r="C9" s="15" t="s">
        <v>27</v>
      </c>
      <c r="D9" s="14">
        <v>0.12048192771084337</v>
      </c>
      <c r="E9" s="14">
        <v>0.25301204819277107</v>
      </c>
      <c r="F9" s="14">
        <v>2.4096385542168676E-2</v>
      </c>
      <c r="G9" s="14">
        <v>2.4096385542168676E-2</v>
      </c>
      <c r="I9" t="str" cm="1">
        <f t="array" ref="I9:I12">TRANSPOSE(D2:G2)</f>
        <v>AI / Machine Learning</v>
      </c>
      <c r="J9" s="3" cm="1">
        <f t="array" ref="J9:J12">TRANSPOSE(D4:G4)</f>
        <v>0.35724743777452417</v>
      </c>
      <c r="L9" t="s">
        <v>25</v>
      </c>
      <c r="M9" s="3">
        <v>3.5714285714285712E-2</v>
      </c>
    </row>
    <row r="10" spans="2:13" ht="32.4" customHeight="1" x14ac:dyDescent="0.3">
      <c r="C10" s="16" t="s">
        <v>29</v>
      </c>
      <c r="D10" s="14">
        <v>0.25</v>
      </c>
      <c r="E10" s="13">
        <v>0.4642857142857143</v>
      </c>
      <c r="F10" s="14">
        <v>0.14285714285714285</v>
      </c>
      <c r="G10" s="14">
        <v>3.5714285714285712E-2</v>
      </c>
      <c r="I10" t="str">
        <v>Data Analyst / BI</v>
      </c>
      <c r="J10" s="3">
        <v>0.12445095168374817</v>
      </c>
      <c r="L10" t="s">
        <v>21</v>
      </c>
      <c r="M10" s="3">
        <v>0.14285714285714285</v>
      </c>
    </row>
    <row r="11" spans="2:13" ht="32.4" customHeight="1" x14ac:dyDescent="0.3">
      <c r="C11" s="15" t="s">
        <v>30</v>
      </c>
      <c r="D11" s="14">
        <v>4.4117647058823532E-2</v>
      </c>
      <c r="E11" s="14">
        <v>0.19117647058823528</v>
      </c>
      <c r="F11" s="14">
        <v>0.14705882352941177</v>
      </c>
      <c r="G11" s="14">
        <v>0</v>
      </c>
      <c r="I11" t="str">
        <v>Data Engineer</v>
      </c>
      <c r="J11" s="3">
        <v>0.24011713030746706</v>
      </c>
      <c r="L11" t="s">
        <v>5</v>
      </c>
      <c r="M11" s="3">
        <v>0.25</v>
      </c>
    </row>
    <row r="12" spans="2:13" x14ac:dyDescent="0.3">
      <c r="I12" t="str">
        <v>Data Science</v>
      </c>
      <c r="J12" s="3">
        <v>2.9282576866764276E-2</v>
      </c>
      <c r="L12" t="s">
        <v>4</v>
      </c>
      <c r="M12" s="3">
        <v>0.4642857142857143</v>
      </c>
    </row>
    <row r="15" spans="2:13" x14ac:dyDescent="0.3">
      <c r="C15" s="11"/>
      <c r="J15" s="12" t="s">
        <v>22</v>
      </c>
    </row>
    <row r="16" spans="2:13" x14ac:dyDescent="0.3">
      <c r="I16" t="s">
        <v>5</v>
      </c>
      <c r="J16" cm="1">
        <f t="array" ref="J16:J19">TRANSPOSE(D5:G5)</f>
        <v>9.7368421052631576E-2</v>
      </c>
    </row>
    <row r="17" spans="2:10" x14ac:dyDescent="0.3">
      <c r="B17" s="7" t="s">
        <v>36</v>
      </c>
      <c r="C17" t="s">
        <v>16</v>
      </c>
      <c r="D17" s="7" t="s">
        <v>25</v>
      </c>
      <c r="E17" s="7" t="s">
        <v>21</v>
      </c>
      <c r="F17" s="7" t="s">
        <v>5</v>
      </c>
      <c r="G17" s="7" t="s">
        <v>4</v>
      </c>
      <c r="I17" t="s">
        <v>4</v>
      </c>
      <c r="J17">
        <v>0.26842105263157895</v>
      </c>
    </row>
    <row r="18" spans="2:10" x14ac:dyDescent="0.3">
      <c r="B18">
        <v>7</v>
      </c>
      <c r="C18" s="12" t="s">
        <v>19</v>
      </c>
      <c r="D18" s="14">
        <v>2.9282576866764276E-2</v>
      </c>
      <c r="E18" s="14">
        <v>0.24011713030746706</v>
      </c>
      <c r="F18" s="13">
        <v>0.35724743777452417</v>
      </c>
      <c r="G18" s="14">
        <v>0.12445095168374817</v>
      </c>
      <c r="I18" t="s">
        <v>21</v>
      </c>
      <c r="J18">
        <v>9.2105263157894732E-2</v>
      </c>
    </row>
    <row r="19" spans="2:10" x14ac:dyDescent="0.3">
      <c r="B19">
        <v>6</v>
      </c>
      <c r="C19" s="12" t="s">
        <v>23</v>
      </c>
      <c r="D19" s="14">
        <v>1.2269938650306749E-2</v>
      </c>
      <c r="E19" s="14">
        <v>0.12576687116564417</v>
      </c>
      <c r="F19" s="14">
        <v>0.24233128834355827</v>
      </c>
      <c r="G19" s="14">
        <v>0.12883435582822086</v>
      </c>
      <c r="I19" t="s">
        <v>25</v>
      </c>
      <c r="J19">
        <v>2.1052631578947368E-2</v>
      </c>
    </row>
    <row r="20" spans="2:10" x14ac:dyDescent="0.3">
      <c r="B20">
        <v>2</v>
      </c>
      <c r="C20" s="15" t="s">
        <v>30</v>
      </c>
      <c r="D20" s="14">
        <v>0</v>
      </c>
      <c r="E20" s="14">
        <v>0.14705882352941177</v>
      </c>
      <c r="F20" s="14">
        <v>4.4117647058823532E-2</v>
      </c>
      <c r="G20" s="14">
        <v>0.19117647058823528</v>
      </c>
    </row>
    <row r="21" spans="2:10" x14ac:dyDescent="0.3">
      <c r="B21">
        <v>5</v>
      </c>
      <c r="C21" s="15" t="s">
        <v>26</v>
      </c>
      <c r="D21" s="14">
        <v>0</v>
      </c>
      <c r="E21" s="14">
        <v>5.2083333333333336E-2</v>
      </c>
      <c r="F21" s="14">
        <v>0.14583333333333334</v>
      </c>
      <c r="G21" s="14">
        <v>0.21875</v>
      </c>
    </row>
    <row r="22" spans="2:10" x14ac:dyDescent="0.3">
      <c r="B22">
        <v>8</v>
      </c>
      <c r="C22" s="10" t="s">
        <v>20</v>
      </c>
      <c r="D22" s="8">
        <v>8.0445544554455448E-2</v>
      </c>
      <c r="E22" s="8">
        <v>0.19183168316831684</v>
      </c>
      <c r="F22" s="8">
        <v>0.18811881188118812</v>
      </c>
      <c r="G22" s="8">
        <v>0.22400990099009901</v>
      </c>
    </row>
    <row r="23" spans="2:10" x14ac:dyDescent="0.3">
      <c r="B23">
        <v>9</v>
      </c>
      <c r="C23" s="12" t="s">
        <v>24</v>
      </c>
      <c r="D23" s="14">
        <v>6.3291139240506328E-3</v>
      </c>
      <c r="E23" s="14">
        <v>0.11708860759493671</v>
      </c>
      <c r="F23" s="14">
        <v>0.1550632911392405</v>
      </c>
      <c r="G23" s="14">
        <v>0.24367088607594936</v>
      </c>
      <c r="J23" s="12" t="s">
        <v>24</v>
      </c>
    </row>
    <row r="24" spans="2:10" x14ac:dyDescent="0.3">
      <c r="B24">
        <v>4</v>
      </c>
      <c r="C24" s="15" t="s">
        <v>27</v>
      </c>
      <c r="D24" s="14">
        <v>2.4096385542168676E-2</v>
      </c>
      <c r="E24" s="14">
        <v>2.4096385542168676E-2</v>
      </c>
      <c r="F24" s="14">
        <v>0.12048192771084337</v>
      </c>
      <c r="G24" s="14">
        <v>0.25301204819277107</v>
      </c>
      <c r="I24" t="s">
        <v>5</v>
      </c>
      <c r="J24" cm="1">
        <f t="array" ref="J24:J27">TRANSPOSE(D6:G6)</f>
        <v>0.1550632911392405</v>
      </c>
    </row>
    <row r="25" spans="2:10" x14ac:dyDescent="0.3">
      <c r="B25">
        <v>1</v>
      </c>
      <c r="C25" s="12" t="s">
        <v>22</v>
      </c>
      <c r="D25" s="14">
        <v>2.1052631578947368E-2</v>
      </c>
      <c r="E25" s="14">
        <v>9.2105263157894732E-2</v>
      </c>
      <c r="F25" s="14">
        <v>9.7368421052631576E-2</v>
      </c>
      <c r="G25" s="14">
        <v>0.26842105263157895</v>
      </c>
      <c r="I25" t="s">
        <v>4</v>
      </c>
      <c r="J25">
        <v>0.24367088607594936</v>
      </c>
    </row>
    <row r="26" spans="2:10" x14ac:dyDescent="0.3">
      <c r="B26">
        <v>3</v>
      </c>
      <c r="C26" s="16" t="s">
        <v>29</v>
      </c>
      <c r="D26" s="14">
        <v>3.5714285714285712E-2</v>
      </c>
      <c r="E26" s="14">
        <v>0.14285714285714285</v>
      </c>
      <c r="F26" s="14">
        <v>0.25</v>
      </c>
      <c r="G26" s="13">
        <v>0.4642857142857143</v>
      </c>
      <c r="I26" t="s">
        <v>21</v>
      </c>
      <c r="J26">
        <v>0.11708860759493671</v>
      </c>
    </row>
    <row r="27" spans="2:10" x14ac:dyDescent="0.3">
      <c r="I27" t="s">
        <v>25</v>
      </c>
      <c r="J27">
        <v>6.3291139240506328E-3</v>
      </c>
    </row>
    <row r="30" spans="2:10" x14ac:dyDescent="0.3">
      <c r="J30" s="12" t="s">
        <v>23</v>
      </c>
    </row>
    <row r="31" spans="2:10" x14ac:dyDescent="0.3">
      <c r="I31" t="s">
        <v>5</v>
      </c>
      <c r="J31" cm="1">
        <f t="array" ref="J31:J34">TRANSPOSE(D7:G7)</f>
        <v>0.24233128834355827</v>
      </c>
    </row>
    <row r="32" spans="2:10" x14ac:dyDescent="0.3">
      <c r="I32" t="s">
        <v>4</v>
      </c>
      <c r="J32">
        <v>0.12883435582822086</v>
      </c>
    </row>
    <row r="33" spans="9:10" x14ac:dyDescent="0.3">
      <c r="I33" t="s">
        <v>21</v>
      </c>
      <c r="J33">
        <v>0.12576687116564417</v>
      </c>
    </row>
    <row r="34" spans="9:10" x14ac:dyDescent="0.3">
      <c r="I34" t="s">
        <v>25</v>
      </c>
      <c r="J34">
        <v>1.2269938650306749E-2</v>
      </c>
    </row>
    <row r="36" spans="9:10" x14ac:dyDescent="0.3">
      <c r="J36" s="16" t="s">
        <v>29</v>
      </c>
    </row>
    <row r="37" spans="9:10" x14ac:dyDescent="0.3">
      <c r="I37" t="s">
        <v>5</v>
      </c>
      <c r="J37" cm="1">
        <f t="array" ref="J37:J40">TRANSPOSE(D10:G10)</f>
        <v>0.25</v>
      </c>
    </row>
    <row r="38" spans="9:10" x14ac:dyDescent="0.3">
      <c r="I38" t="s">
        <v>4</v>
      </c>
      <c r="J38">
        <v>0.4642857142857143</v>
      </c>
    </row>
    <row r="39" spans="9:10" x14ac:dyDescent="0.3">
      <c r="I39" t="s">
        <v>21</v>
      </c>
      <c r="J39">
        <v>0.14285714285714285</v>
      </c>
    </row>
    <row r="40" spans="9:10" x14ac:dyDescent="0.3">
      <c r="I40" t="s">
        <v>25</v>
      </c>
      <c r="J40">
        <v>3.5714285714285712E-2</v>
      </c>
    </row>
  </sheetData>
  <sortState xmlns:xlrd2="http://schemas.microsoft.com/office/spreadsheetml/2017/richdata2" ref="B18:G26">
    <sortCondition ref="G18:G26"/>
  </sortState>
  <mergeCells count="1">
    <mergeCell ref="B3:B7"/>
  </mergeCells>
  <conditionalFormatting sqref="D3:G11">
    <cfRule type="colorScale" priority="12">
      <colorScale>
        <cfvo type="min"/>
        <cfvo type="max"/>
        <color theme="0"/>
        <color theme="3" tint="0.249977111117893"/>
      </colorScale>
    </cfRule>
    <cfRule type="cellIs" dxfId="1" priority="13" operator="greaterThan">
      <formula>0.3</formula>
    </cfRule>
  </conditionalFormatting>
  <conditionalFormatting sqref="D18:G26">
    <cfRule type="colorScale" priority="14">
      <colorScale>
        <cfvo type="min"/>
        <cfvo type="max"/>
        <color theme="0"/>
        <color theme="3" tint="0.249977111117893"/>
      </colorScale>
    </cfRule>
    <cfRule type="cellIs" dxfId="0" priority="15" operator="greaterThan">
      <formula>0.3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3286E2-D9BB-4E91-9A95-6F75B90562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Domain</vt:lpstr>
      <vt:lpstr>Nhu cầu tuyển dụng theo Cấp bậc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NGA</dc:creator>
  <cp:lastModifiedBy>HAN NGA</cp:lastModifiedBy>
  <dcterms:created xsi:type="dcterms:W3CDTF">2026-10-05T06:38:39Z</dcterms:created>
  <dcterms:modified xsi:type="dcterms:W3CDTF">2026-10-08T06:48:36Z</dcterms:modified>
</cp:coreProperties>
</file>